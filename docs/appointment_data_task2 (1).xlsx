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Cleaned_Appointment" sheetId="1" state="visible" r:id="rId3"/>
    <sheet name="Cleaned_Feedback" sheetId="2" state="visible" r:id="rId4"/>
    <sheet name="Cleaned_Resource" sheetId="3" state="visible" r:id="rId5"/>
    <sheet name="Combined_Dataset" sheetId="4" state="visible" r:id="rId6"/>
    <sheet name="Pivot_Appointments" sheetId="5" state="visible" r:id="rId7"/>
    <sheet name="Pivot_Satisfaction" sheetId="6" state="visible" r:id="rId8"/>
    <sheet name="Pivot_Resource" sheetId="7" state="visible" r:id="rId9"/>
    <sheet name="Trends_Analysis" sheetId="8" state="visible" r:id="rId10"/>
  </sheets>
  <definedNames>
    <definedName function="false" hidden="true" localSheetId="3" name="_xlnm._FilterDatabase" vbProcedure="false">Combined_Dataset!$A$1:$H$200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<sst xmlns="http://schemas.openxmlformats.org/spreadsheetml/2006/main" count="2762" uniqueCount="913">
  <si>
    <t xml:space="preserve">AppointmentID</t>
  </si>
  <si>
    <t xml:space="preserve">PatientID</t>
  </si>
  <si>
    <t xml:space="preserve">DoctorID</t>
  </si>
  <si>
    <t xml:space="preserve">Department</t>
  </si>
  <si>
    <t xml:space="preserve">Date</t>
  </si>
  <si>
    <t xml:space="preserve">Time</t>
  </si>
  <si>
    <t xml:space="preserve">Status</t>
  </si>
  <si>
    <t xml:space="preserve">Hour</t>
  </si>
  <si>
    <t xml:space="preserve">DayOfWeek</t>
  </si>
  <si>
    <t xml:space="preserve">N/A</t>
  </si>
  <si>
    <t xml:space="preserve">P96099</t>
  </si>
  <si>
    <t xml:space="preserve">D26</t>
  </si>
  <si>
    <t xml:space="preserve">Cardiology</t>
  </si>
  <si>
    <t xml:space="preserve">A7515</t>
  </si>
  <si>
    <t xml:space="preserve">P16262</t>
  </si>
  <si>
    <t xml:space="preserve">D1</t>
  </si>
  <si>
    <t xml:space="preserve">Orthopedics</t>
  </si>
  <si>
    <t xml:space="preserve">No Show</t>
  </si>
  <si>
    <t xml:space="preserve">A7537</t>
  </si>
  <si>
    <t xml:space="preserve">P99601</t>
  </si>
  <si>
    <t xml:space="preserve">D30</t>
  </si>
  <si>
    <t xml:space="preserve">Completed</t>
  </si>
  <si>
    <t xml:space="preserve">A8866</t>
  </si>
  <si>
    <t xml:space="preserve">P55235</t>
  </si>
  <si>
    <t xml:space="preserve">Neurology</t>
  </si>
  <si>
    <t xml:space="preserve">Rescheduled</t>
  </si>
  <si>
    <t xml:space="preserve">A3039</t>
  </si>
  <si>
    <t xml:space="preserve">P93372</t>
  </si>
  <si>
    <t xml:space="preserve">D23</t>
  </si>
  <si>
    <t xml:space="preserve">Pediatric</t>
  </si>
  <si>
    <t xml:space="preserve">Cancelled</t>
  </si>
  <si>
    <t xml:space="preserve">A3237</t>
  </si>
  <si>
    <t xml:space="preserve">P84444</t>
  </si>
  <si>
    <t xml:space="preserve">A8127</t>
  </si>
  <si>
    <t xml:space="preserve">P41013</t>
  </si>
  <si>
    <t xml:space="preserve">D24</t>
  </si>
  <si>
    <t xml:space="preserve">A7025</t>
  </si>
  <si>
    <t xml:space="preserve">P17235</t>
  </si>
  <si>
    <t xml:space="preserve">D10</t>
  </si>
  <si>
    <t xml:space="preserve">A8462</t>
  </si>
  <si>
    <t xml:space="preserve">P35768</t>
  </si>
  <si>
    <t xml:space="preserve">D8</t>
  </si>
  <si>
    <t xml:space="preserve">A9018</t>
  </si>
  <si>
    <t xml:space="preserve">P28832</t>
  </si>
  <si>
    <t xml:space="preserve">D14</t>
  </si>
  <si>
    <t xml:space="preserve">A7791</t>
  </si>
  <si>
    <t xml:space="preserve">P29680</t>
  </si>
  <si>
    <t xml:space="preserve">D28</t>
  </si>
  <si>
    <t xml:space="preserve">A4362</t>
  </si>
  <si>
    <t xml:space="preserve">P93978</t>
  </si>
  <si>
    <t xml:space="preserve">D5</t>
  </si>
  <si>
    <t xml:space="preserve">P83760</t>
  </si>
  <si>
    <t xml:space="preserve">A1132</t>
  </si>
  <si>
    <t xml:space="preserve">P41254</t>
  </si>
  <si>
    <t xml:space="preserve">A6499</t>
  </si>
  <si>
    <t xml:space="preserve">P73818</t>
  </si>
  <si>
    <t xml:space="preserve">D6</t>
  </si>
  <si>
    <t xml:space="preserve">A2196</t>
  </si>
  <si>
    <t xml:space="preserve">P79312</t>
  </si>
  <si>
    <t xml:space="preserve">A7135</t>
  </si>
  <si>
    <t xml:space="preserve">P82827</t>
  </si>
  <si>
    <t xml:space="preserve">A8788</t>
  </si>
  <si>
    <t xml:space="preserve">P25878</t>
  </si>
  <si>
    <t xml:space="preserve">A1284</t>
  </si>
  <si>
    <t xml:space="preserve">P93291</t>
  </si>
  <si>
    <t xml:space="preserve">A7527</t>
  </si>
  <si>
    <t xml:space="preserve">P14299</t>
  </si>
  <si>
    <t xml:space="preserve">D29</t>
  </si>
  <si>
    <t xml:space="preserve">A5514</t>
  </si>
  <si>
    <t xml:space="preserve">P90461</t>
  </si>
  <si>
    <t xml:space="preserve">D15</t>
  </si>
  <si>
    <t xml:space="preserve">Oncology</t>
  </si>
  <si>
    <t xml:space="preserve">A4853</t>
  </si>
  <si>
    <t xml:space="preserve">P77174</t>
  </si>
  <si>
    <t xml:space="preserve">D11</t>
  </si>
  <si>
    <t xml:space="preserve">A4504</t>
  </si>
  <si>
    <t xml:space="preserve">P38694</t>
  </si>
  <si>
    <t xml:space="preserve">General Medicine</t>
  </si>
  <si>
    <t xml:space="preserve">A2106</t>
  </si>
  <si>
    <t xml:space="preserve">P45916</t>
  </si>
  <si>
    <t xml:space="preserve">D25</t>
  </si>
  <si>
    <t xml:space="preserve">P98707</t>
  </si>
  <si>
    <t xml:space="preserve">D20</t>
  </si>
  <si>
    <t xml:space="preserve">A6156</t>
  </si>
  <si>
    <t xml:space="preserve">P68619</t>
  </si>
  <si>
    <t xml:space="preserve">A2963</t>
  </si>
  <si>
    <t xml:space="preserve">P11071</t>
  </si>
  <si>
    <t xml:space="preserve">D13</t>
  </si>
  <si>
    <t xml:space="preserve">A1511</t>
  </si>
  <si>
    <t xml:space="preserve">P18878</t>
  </si>
  <si>
    <t xml:space="preserve">D27</t>
  </si>
  <si>
    <t xml:space="preserve">A1949</t>
  </si>
  <si>
    <t xml:space="preserve">P88817</t>
  </si>
  <si>
    <t xml:space="preserve">A9088</t>
  </si>
  <si>
    <t xml:space="preserve">P70452</t>
  </si>
  <si>
    <t xml:space="preserve">D7</t>
  </si>
  <si>
    <t xml:space="preserve">A1384</t>
  </si>
  <si>
    <t xml:space="preserve">P79213</t>
  </si>
  <si>
    <t xml:space="preserve">A4140</t>
  </si>
  <si>
    <t xml:space="preserve">P92292</t>
  </si>
  <si>
    <t xml:space="preserve">D17</t>
  </si>
  <si>
    <t xml:space="preserve">A6170</t>
  </si>
  <si>
    <t xml:space="preserve">P46858</t>
  </si>
  <si>
    <t xml:space="preserve">A5704</t>
  </si>
  <si>
    <t xml:space="preserve">P10337</t>
  </si>
  <si>
    <t xml:space="preserve">D12</t>
  </si>
  <si>
    <t xml:space="preserve">A1762</t>
  </si>
  <si>
    <t xml:space="preserve">P76416</t>
  </si>
  <si>
    <t xml:space="preserve">A3377</t>
  </si>
  <si>
    <t xml:space="preserve">P47558</t>
  </si>
  <si>
    <t xml:space="preserve">A7484</t>
  </si>
  <si>
    <t xml:space="preserve">P10851</t>
  </si>
  <si>
    <t xml:space="preserve">A7950</t>
  </si>
  <si>
    <t xml:space="preserve">P70960</t>
  </si>
  <si>
    <t xml:space="preserve">A4062</t>
  </si>
  <si>
    <t xml:space="preserve">P56742</t>
  </si>
  <si>
    <t xml:space="preserve">P62667</t>
  </si>
  <si>
    <t xml:space="preserve">A7608</t>
  </si>
  <si>
    <t xml:space="preserve">P30132</t>
  </si>
  <si>
    <t xml:space="preserve">A6966</t>
  </si>
  <si>
    <t xml:space="preserve">P43686</t>
  </si>
  <si>
    <t xml:space="preserve">D9</t>
  </si>
  <si>
    <t xml:space="preserve">A8149</t>
  </si>
  <si>
    <t xml:space="preserve">P43188</t>
  </si>
  <si>
    <t xml:space="preserve">D22</t>
  </si>
  <si>
    <t xml:space="preserve">A8665</t>
  </si>
  <si>
    <t xml:space="preserve">P35517</t>
  </si>
  <si>
    <t xml:space="preserve">D16</t>
  </si>
  <si>
    <t xml:space="preserve">A6187</t>
  </si>
  <si>
    <t xml:space="preserve">P87789</t>
  </si>
  <si>
    <t xml:space="preserve">D19</t>
  </si>
  <si>
    <t xml:space="preserve">A9961</t>
  </si>
  <si>
    <t xml:space="preserve">P76847</t>
  </si>
  <si>
    <t xml:space="preserve">A2974</t>
  </si>
  <si>
    <t xml:space="preserve">P97899</t>
  </si>
  <si>
    <t xml:space="preserve">A5835</t>
  </si>
  <si>
    <t xml:space="preserve">P67499</t>
  </si>
  <si>
    <t xml:space="preserve">D4</t>
  </si>
  <si>
    <t xml:space="preserve">A6947</t>
  </si>
  <si>
    <t xml:space="preserve">P22024</t>
  </si>
  <si>
    <t xml:space="preserve">A1148</t>
  </si>
  <si>
    <t xml:space="preserve">P61654</t>
  </si>
  <si>
    <t xml:space="preserve">A9073</t>
  </si>
  <si>
    <t xml:space="preserve">P25059</t>
  </si>
  <si>
    <t xml:space="preserve">A6922</t>
  </si>
  <si>
    <t xml:space="preserve">P80104</t>
  </si>
  <si>
    <t xml:space="preserve">A9724</t>
  </si>
  <si>
    <t xml:space="preserve">P89217</t>
  </si>
  <si>
    <t xml:space="preserve">A7514</t>
  </si>
  <si>
    <t xml:space="preserve">P40896</t>
  </si>
  <si>
    <t xml:space="preserve">A9602</t>
  </si>
  <si>
    <t xml:space="preserve">P93573</t>
  </si>
  <si>
    <t xml:space="preserve">A3495</t>
  </si>
  <si>
    <t xml:space="preserve">P27259</t>
  </si>
  <si>
    <t xml:space="preserve">D3</t>
  </si>
  <si>
    <t xml:space="preserve">P86378</t>
  </si>
  <si>
    <t xml:space="preserve">A9488</t>
  </si>
  <si>
    <t xml:space="preserve">P11866</t>
  </si>
  <si>
    <t xml:space="preserve">A5762</t>
  </si>
  <si>
    <t xml:space="preserve">P82148</t>
  </si>
  <si>
    <t xml:space="preserve">A8076</t>
  </si>
  <si>
    <t xml:space="preserve">P96356</t>
  </si>
  <si>
    <t xml:space="preserve">A9964</t>
  </si>
  <si>
    <t xml:space="preserve">P95475</t>
  </si>
  <si>
    <t xml:space="preserve">A8328</t>
  </si>
  <si>
    <t xml:space="preserve">P24760</t>
  </si>
  <si>
    <t xml:space="preserve">A3096</t>
  </si>
  <si>
    <t xml:space="preserve">P94013</t>
  </si>
  <si>
    <t xml:space="preserve">A5851</t>
  </si>
  <si>
    <t xml:space="preserve">P28262</t>
  </si>
  <si>
    <t xml:space="preserve">A9029</t>
  </si>
  <si>
    <t xml:space="preserve">P27012</t>
  </si>
  <si>
    <t xml:space="preserve">A5016</t>
  </si>
  <si>
    <t xml:space="preserve">P42600</t>
  </si>
  <si>
    <t xml:space="preserve">A8410</t>
  </si>
  <si>
    <t xml:space="preserve">P59519</t>
  </si>
  <si>
    <t xml:space="preserve">A6602</t>
  </si>
  <si>
    <t xml:space="preserve">P87869</t>
  </si>
  <si>
    <t xml:space="preserve">P14071</t>
  </si>
  <si>
    <t xml:space="preserve">D2</t>
  </si>
  <si>
    <t xml:space="preserve">A4630</t>
  </si>
  <si>
    <t xml:space="preserve">P57426</t>
  </si>
  <si>
    <t xml:space="preserve">A7337</t>
  </si>
  <si>
    <t xml:space="preserve">P77563</t>
  </si>
  <si>
    <t xml:space="preserve">A6960</t>
  </si>
  <si>
    <t xml:space="preserve">P29377</t>
  </si>
  <si>
    <t xml:space="preserve">A6763</t>
  </si>
  <si>
    <t xml:space="preserve">P68223</t>
  </si>
  <si>
    <t xml:space="preserve">A2399</t>
  </si>
  <si>
    <t xml:space="preserve">P55949</t>
  </si>
  <si>
    <t xml:space="preserve">A7962</t>
  </si>
  <si>
    <t xml:space="preserve">P23588</t>
  </si>
  <si>
    <t xml:space="preserve">A2839</t>
  </si>
  <si>
    <t xml:space="preserve">P73075</t>
  </si>
  <si>
    <t xml:space="preserve">A4322</t>
  </si>
  <si>
    <t xml:space="preserve">P82492</t>
  </si>
  <si>
    <t xml:space="preserve">A4269</t>
  </si>
  <si>
    <t xml:space="preserve">P77493</t>
  </si>
  <si>
    <t xml:space="preserve">A2273</t>
  </si>
  <si>
    <t xml:space="preserve">P22316</t>
  </si>
  <si>
    <t xml:space="preserve">A5011</t>
  </si>
  <si>
    <t xml:space="preserve">P49994</t>
  </si>
  <si>
    <t xml:space="preserve">A1280</t>
  </si>
  <si>
    <t xml:space="preserve">P71033</t>
  </si>
  <si>
    <t xml:space="preserve">A4434</t>
  </si>
  <si>
    <t xml:space="preserve">P28668</t>
  </si>
  <si>
    <t xml:space="preserve">A5929</t>
  </si>
  <si>
    <t xml:space="preserve">P76574</t>
  </si>
  <si>
    <t xml:space="preserve">A1107</t>
  </si>
  <si>
    <t xml:space="preserve">P34541</t>
  </si>
  <si>
    <t xml:space="preserve">D18</t>
  </si>
  <si>
    <t xml:space="preserve">A8154</t>
  </si>
  <si>
    <t xml:space="preserve">P28861</t>
  </si>
  <si>
    <t xml:space="preserve">A3997</t>
  </si>
  <si>
    <t xml:space="preserve">P11217</t>
  </si>
  <si>
    <t xml:space="preserve">A1887</t>
  </si>
  <si>
    <t xml:space="preserve">P56741</t>
  </si>
  <si>
    <t xml:space="preserve">A2811</t>
  </si>
  <si>
    <t xml:space="preserve">P19592</t>
  </si>
  <si>
    <t xml:space="preserve">A7866</t>
  </si>
  <si>
    <t xml:space="preserve">P94928</t>
  </si>
  <si>
    <t xml:space="preserve">P50275</t>
  </si>
  <si>
    <t xml:space="preserve">A4066</t>
  </si>
  <si>
    <t xml:space="preserve">P73844</t>
  </si>
  <si>
    <t xml:space="preserve">A1698</t>
  </si>
  <si>
    <t xml:space="preserve">P50711</t>
  </si>
  <si>
    <t xml:space="preserve">A9430</t>
  </si>
  <si>
    <t xml:space="preserve">P30920</t>
  </si>
  <si>
    <t xml:space="preserve">A4495</t>
  </si>
  <si>
    <t xml:space="preserve">P26650</t>
  </si>
  <si>
    <t xml:space="preserve">A3333</t>
  </si>
  <si>
    <t xml:space="preserve">P22791</t>
  </si>
  <si>
    <t xml:space="preserve">A5600</t>
  </si>
  <si>
    <t xml:space="preserve">P17310</t>
  </si>
  <si>
    <t xml:space="preserve">A4561</t>
  </si>
  <si>
    <t xml:space="preserve">P61087</t>
  </si>
  <si>
    <t xml:space="preserve">A1739</t>
  </si>
  <si>
    <t xml:space="preserve">P81824</t>
  </si>
  <si>
    <t xml:space="preserve">A2109</t>
  </si>
  <si>
    <t xml:space="preserve">P24131</t>
  </si>
  <si>
    <t xml:space="preserve">D21</t>
  </si>
  <si>
    <t xml:space="preserve">A1157</t>
  </si>
  <si>
    <t xml:space="preserve">P38330</t>
  </si>
  <si>
    <t xml:space="preserve">A6884</t>
  </si>
  <si>
    <t xml:space="preserve">P65114</t>
  </si>
  <si>
    <t xml:space="preserve">A4146</t>
  </si>
  <si>
    <t xml:space="preserve">P88218</t>
  </si>
  <si>
    <t xml:space="preserve">A3067</t>
  </si>
  <si>
    <t xml:space="preserve">P34644</t>
  </si>
  <si>
    <t xml:space="preserve">A4312</t>
  </si>
  <si>
    <t xml:space="preserve">P29322</t>
  </si>
  <si>
    <t xml:space="preserve">A8481</t>
  </si>
  <si>
    <t xml:space="preserve">P64103</t>
  </si>
  <si>
    <t xml:space="preserve">A8951</t>
  </si>
  <si>
    <t xml:space="preserve">P31843</t>
  </si>
  <si>
    <t xml:space="preserve">A6060</t>
  </si>
  <si>
    <t xml:space="preserve">P33026</t>
  </si>
  <si>
    <t xml:space="preserve">A9814</t>
  </si>
  <si>
    <t xml:space="preserve">P47436</t>
  </si>
  <si>
    <t xml:space="preserve">A9209</t>
  </si>
  <si>
    <t xml:space="preserve">P48965</t>
  </si>
  <si>
    <t xml:space="preserve">A4611</t>
  </si>
  <si>
    <t xml:space="preserve">P20771</t>
  </si>
  <si>
    <t xml:space="preserve">A9807</t>
  </si>
  <si>
    <t xml:space="preserve">P32966</t>
  </si>
  <si>
    <t xml:space="preserve">A1390</t>
  </si>
  <si>
    <t xml:space="preserve">P65077</t>
  </si>
  <si>
    <t xml:space="preserve">A8552</t>
  </si>
  <si>
    <t xml:space="preserve">P30147</t>
  </si>
  <si>
    <t xml:space="preserve">A2077</t>
  </si>
  <si>
    <t xml:space="preserve">P54890</t>
  </si>
  <si>
    <t xml:space="preserve">A4393</t>
  </si>
  <si>
    <t xml:space="preserve">P77589</t>
  </si>
  <si>
    <t xml:space="preserve">A9429</t>
  </si>
  <si>
    <t xml:space="preserve">P59917</t>
  </si>
  <si>
    <t xml:space="preserve">A9519</t>
  </si>
  <si>
    <t xml:space="preserve">P89260</t>
  </si>
  <si>
    <t xml:space="preserve">A3483</t>
  </si>
  <si>
    <t xml:space="preserve">P22612</t>
  </si>
  <si>
    <t xml:space="preserve">A9319</t>
  </si>
  <si>
    <t xml:space="preserve">P10983</t>
  </si>
  <si>
    <t xml:space="preserve">A7880</t>
  </si>
  <si>
    <t xml:space="preserve">P61404</t>
  </si>
  <si>
    <t xml:space="preserve">P48563</t>
  </si>
  <si>
    <t xml:space="preserve">A8498</t>
  </si>
  <si>
    <t xml:space="preserve">P68408</t>
  </si>
  <si>
    <t xml:space="preserve">A6824</t>
  </si>
  <si>
    <t xml:space="preserve">P80709</t>
  </si>
  <si>
    <t xml:space="preserve">A1087</t>
  </si>
  <si>
    <t xml:space="preserve">P22483</t>
  </si>
  <si>
    <t xml:space="preserve">A4414</t>
  </si>
  <si>
    <t xml:space="preserve">P29433</t>
  </si>
  <si>
    <t xml:space="preserve">A3515</t>
  </si>
  <si>
    <t xml:space="preserve">P81174</t>
  </si>
  <si>
    <t xml:space="preserve">A2655</t>
  </si>
  <si>
    <t xml:space="preserve">P63392</t>
  </si>
  <si>
    <t xml:space="preserve">A3613</t>
  </si>
  <si>
    <t xml:space="preserve">P24186</t>
  </si>
  <si>
    <t xml:space="preserve">A8377</t>
  </si>
  <si>
    <t xml:space="preserve">P12075</t>
  </si>
  <si>
    <t xml:space="preserve">A6529</t>
  </si>
  <si>
    <t xml:space="preserve">P36565</t>
  </si>
  <si>
    <t xml:space="preserve">A2906</t>
  </si>
  <si>
    <t xml:space="preserve">P17033</t>
  </si>
  <si>
    <t xml:space="preserve">A2994</t>
  </si>
  <si>
    <t xml:space="preserve">P53406</t>
  </si>
  <si>
    <t xml:space="preserve">A6194</t>
  </si>
  <si>
    <t xml:space="preserve">P74577</t>
  </si>
  <si>
    <t xml:space="preserve">A5675</t>
  </si>
  <si>
    <t xml:space="preserve">P54686</t>
  </si>
  <si>
    <t xml:space="preserve">A7625</t>
  </si>
  <si>
    <t xml:space="preserve">P15042</t>
  </si>
  <si>
    <t xml:space="preserve">A2478</t>
  </si>
  <si>
    <t xml:space="preserve">P66658</t>
  </si>
  <si>
    <t xml:space="preserve">A3419</t>
  </si>
  <si>
    <t xml:space="preserve">P46158</t>
  </si>
  <si>
    <t xml:space="preserve">A8571</t>
  </si>
  <si>
    <t xml:space="preserve">P47910</t>
  </si>
  <si>
    <t xml:space="preserve">A5158</t>
  </si>
  <si>
    <t xml:space="preserve">P69894</t>
  </si>
  <si>
    <t xml:space="preserve">A9474</t>
  </si>
  <si>
    <t xml:space="preserve">P86247</t>
  </si>
  <si>
    <t xml:space="preserve">A3302</t>
  </si>
  <si>
    <t xml:space="preserve">P42193</t>
  </si>
  <si>
    <t xml:space="preserve">A8884</t>
  </si>
  <si>
    <t xml:space="preserve">P29032</t>
  </si>
  <si>
    <t xml:space="preserve">A4568</t>
  </si>
  <si>
    <t xml:space="preserve">P72811</t>
  </si>
  <si>
    <t xml:space="preserve">A4659</t>
  </si>
  <si>
    <t xml:space="preserve">P96259</t>
  </si>
  <si>
    <t xml:space="preserve">A2509</t>
  </si>
  <si>
    <t xml:space="preserve">P44251</t>
  </si>
  <si>
    <t xml:space="preserve">A5133</t>
  </si>
  <si>
    <t xml:space="preserve">P16884</t>
  </si>
  <si>
    <t xml:space="preserve">A5428</t>
  </si>
  <si>
    <t xml:space="preserve">P81817</t>
  </si>
  <si>
    <t xml:space="preserve">A6482</t>
  </si>
  <si>
    <t xml:space="preserve">P77843</t>
  </si>
  <si>
    <t xml:space="preserve">A3214</t>
  </si>
  <si>
    <t xml:space="preserve">P57937</t>
  </si>
  <si>
    <t xml:space="preserve">P31668</t>
  </si>
  <si>
    <t xml:space="preserve">A9946</t>
  </si>
  <si>
    <t xml:space="preserve">P82099</t>
  </si>
  <si>
    <t xml:space="preserve">A1914</t>
  </si>
  <si>
    <t xml:space="preserve">P94085</t>
  </si>
  <si>
    <t xml:space="preserve">A8524</t>
  </si>
  <si>
    <t xml:space="preserve">P50596</t>
  </si>
  <si>
    <t xml:space="preserve">A2924</t>
  </si>
  <si>
    <t xml:space="preserve">P52297</t>
  </si>
  <si>
    <t xml:space="preserve">A7356</t>
  </si>
  <si>
    <t xml:space="preserve">P69830</t>
  </si>
  <si>
    <t xml:space="preserve">A3207</t>
  </si>
  <si>
    <t xml:space="preserve">P95953</t>
  </si>
  <si>
    <t xml:space="preserve">A8095</t>
  </si>
  <si>
    <t xml:space="preserve">P84949</t>
  </si>
  <si>
    <t xml:space="preserve">A8676</t>
  </si>
  <si>
    <t xml:space="preserve">P53519</t>
  </si>
  <si>
    <t xml:space="preserve">A6110</t>
  </si>
  <si>
    <t xml:space="preserve">P38037</t>
  </si>
  <si>
    <t xml:space="preserve">A9091</t>
  </si>
  <si>
    <t xml:space="preserve">P28397</t>
  </si>
  <si>
    <t xml:space="preserve">A7078</t>
  </si>
  <si>
    <t xml:space="preserve">P41694</t>
  </si>
  <si>
    <t xml:space="preserve">A6318</t>
  </si>
  <si>
    <t xml:space="preserve">P87617</t>
  </si>
  <si>
    <t xml:space="preserve">A2447</t>
  </si>
  <si>
    <t xml:space="preserve">P28106</t>
  </si>
  <si>
    <t xml:space="preserve">A7151</t>
  </si>
  <si>
    <t xml:space="preserve">P81675</t>
  </si>
  <si>
    <t xml:space="preserve">A9386</t>
  </si>
  <si>
    <t xml:space="preserve">P42541</t>
  </si>
  <si>
    <t xml:space="preserve">A2462</t>
  </si>
  <si>
    <t xml:space="preserve">P90961</t>
  </si>
  <si>
    <t xml:space="preserve">A1120</t>
  </si>
  <si>
    <t xml:space="preserve">P89375</t>
  </si>
  <si>
    <t xml:space="preserve">A2187</t>
  </si>
  <si>
    <t xml:space="preserve">P50132</t>
  </si>
  <si>
    <t xml:space="preserve">A8535</t>
  </si>
  <si>
    <t xml:space="preserve">P32413</t>
  </si>
  <si>
    <t xml:space="preserve">A1625</t>
  </si>
  <si>
    <t xml:space="preserve">P22184</t>
  </si>
  <si>
    <t xml:space="preserve">A9986</t>
  </si>
  <si>
    <t xml:space="preserve">P50298</t>
  </si>
  <si>
    <t xml:space="preserve">A6445</t>
  </si>
  <si>
    <t xml:space="preserve">P36715</t>
  </si>
  <si>
    <t xml:space="preserve">P86657</t>
  </si>
  <si>
    <t xml:space="preserve">A8557</t>
  </si>
  <si>
    <t xml:space="preserve">P88279</t>
  </si>
  <si>
    <t xml:space="preserve">A2482</t>
  </si>
  <si>
    <t xml:space="preserve">P55468</t>
  </si>
  <si>
    <t xml:space="preserve">A6526</t>
  </si>
  <si>
    <t xml:space="preserve">P22511</t>
  </si>
  <si>
    <t xml:space="preserve">A6440</t>
  </si>
  <si>
    <t xml:space="preserve">P95021</t>
  </si>
  <si>
    <t xml:space="preserve">A6172</t>
  </si>
  <si>
    <t xml:space="preserve">P43786</t>
  </si>
  <si>
    <t xml:space="preserve">A3589</t>
  </si>
  <si>
    <t xml:space="preserve">P18635</t>
  </si>
  <si>
    <t xml:space="preserve">A4019</t>
  </si>
  <si>
    <t xml:space="preserve">P28088</t>
  </si>
  <si>
    <t xml:space="preserve">A3259</t>
  </si>
  <si>
    <t xml:space="preserve">P88045</t>
  </si>
  <si>
    <t xml:space="preserve">A6695</t>
  </si>
  <si>
    <t xml:space="preserve">P95964</t>
  </si>
  <si>
    <t xml:space="preserve">A2197</t>
  </si>
  <si>
    <t xml:space="preserve">P32057</t>
  </si>
  <si>
    <t xml:space="preserve">A9356</t>
  </si>
  <si>
    <t xml:space="preserve">P32295</t>
  </si>
  <si>
    <t xml:space="preserve">A9238</t>
  </si>
  <si>
    <t xml:space="preserve">P40762</t>
  </si>
  <si>
    <t xml:space="preserve">A6497</t>
  </si>
  <si>
    <t xml:space="preserve">P86619</t>
  </si>
  <si>
    <t xml:space="preserve">A2454</t>
  </si>
  <si>
    <t xml:space="preserve">P90601</t>
  </si>
  <si>
    <t xml:space="preserve">A7982</t>
  </si>
  <si>
    <t xml:space="preserve">P22337</t>
  </si>
  <si>
    <t xml:space="preserve">A6772</t>
  </si>
  <si>
    <t xml:space="preserve">P60677</t>
  </si>
  <si>
    <t xml:space="preserve">A5366</t>
  </si>
  <si>
    <t xml:space="preserve">P75831</t>
  </si>
  <si>
    <t xml:space="preserve">A6174</t>
  </si>
  <si>
    <t xml:space="preserve">P68253</t>
  </si>
  <si>
    <t xml:space="preserve">A6971</t>
  </si>
  <si>
    <t xml:space="preserve">P14650</t>
  </si>
  <si>
    <t xml:space="preserve">A7748</t>
  </si>
  <si>
    <t xml:space="preserve">P15250</t>
  </si>
  <si>
    <t xml:space="preserve">A7444</t>
  </si>
  <si>
    <t xml:space="preserve">P10797</t>
  </si>
  <si>
    <t xml:space="preserve">A9632</t>
  </si>
  <si>
    <t xml:space="preserve">P30694</t>
  </si>
  <si>
    <t xml:space="preserve">A1765</t>
  </si>
  <si>
    <t xml:space="preserve">P59755</t>
  </si>
  <si>
    <t xml:space="preserve">A3732</t>
  </si>
  <si>
    <t xml:space="preserve">P80770</t>
  </si>
  <si>
    <t xml:space="preserve">A5220</t>
  </si>
  <si>
    <t xml:space="preserve">P67482</t>
  </si>
  <si>
    <t xml:space="preserve">A5292</t>
  </si>
  <si>
    <t xml:space="preserve">P13204</t>
  </si>
  <si>
    <t xml:space="preserve">P13916</t>
  </si>
  <si>
    <t xml:space="preserve">FeedbackID</t>
  </si>
  <si>
    <t xml:space="preserve">Feedback Score</t>
  </si>
  <si>
    <t xml:space="preserve">Comments</t>
  </si>
  <si>
    <t xml:space="preserve">WaitTime( in min)</t>
  </si>
  <si>
    <t xml:space="preserve">F1000</t>
  </si>
  <si>
    <t xml:space="preserve">Delayed response</t>
  </si>
  <si>
    <t xml:space="preserve">F1001</t>
  </si>
  <si>
    <t xml:space="preserve">Needs improvement</t>
  </si>
  <si>
    <t xml:space="preserve">F1002</t>
  </si>
  <si>
    <t xml:space="preserve">Excellent care</t>
  </si>
  <si>
    <t xml:space="preserve">F1003</t>
  </si>
  <si>
    <t xml:space="preserve">Amazing team</t>
  </si>
  <si>
    <t xml:space="preserve">F1004</t>
  </si>
  <si>
    <t xml:space="preserve">Great doctors</t>
  </si>
  <si>
    <t xml:space="preserve">F1005</t>
  </si>
  <si>
    <t xml:space="preserve">Satisfactory</t>
  </si>
  <si>
    <t xml:space="preserve">F1006</t>
  </si>
  <si>
    <t xml:space="preserve">F1007</t>
  </si>
  <si>
    <t xml:space="preserve">Child-friendly staff</t>
  </si>
  <si>
    <t xml:space="preserve">F1008</t>
  </si>
  <si>
    <t xml:space="preserve">F1009</t>
  </si>
  <si>
    <t xml:space="preserve">F1010</t>
  </si>
  <si>
    <t xml:space="preserve">Room cleanliness issue</t>
  </si>
  <si>
    <t xml:space="preserve">F1011</t>
  </si>
  <si>
    <t xml:space="preserve">Long wait times</t>
  </si>
  <si>
    <t xml:space="preserve">F1012</t>
  </si>
  <si>
    <t xml:space="preserve">F1013</t>
  </si>
  <si>
    <t xml:space="preserve">F1014</t>
  </si>
  <si>
    <t xml:space="preserve">F1015</t>
  </si>
  <si>
    <t xml:space="preserve">Very good</t>
  </si>
  <si>
    <t xml:space="preserve">F1016</t>
  </si>
  <si>
    <t xml:space="preserve">Average</t>
  </si>
  <si>
    <t xml:space="preserve">F1017</t>
  </si>
  <si>
    <t xml:space="preserve">Helpful staff</t>
  </si>
  <si>
    <t xml:space="preserve">F1018</t>
  </si>
  <si>
    <t xml:space="preserve">Efficient process</t>
  </si>
  <si>
    <t xml:space="preserve">F1019</t>
  </si>
  <si>
    <t xml:space="preserve">F1020</t>
  </si>
  <si>
    <t xml:space="preserve">F1021</t>
  </si>
  <si>
    <t xml:space="preserve">F1022</t>
  </si>
  <si>
    <t xml:space="preserve">F1023</t>
  </si>
  <si>
    <t xml:space="preserve">F1024</t>
  </si>
  <si>
    <t xml:space="preserve">Highly recommended</t>
  </si>
  <si>
    <t xml:space="preserve">F1025</t>
  </si>
  <si>
    <t xml:space="preserve">F1026</t>
  </si>
  <si>
    <t xml:space="preserve">F1027</t>
  </si>
  <si>
    <t xml:space="preserve">F1028</t>
  </si>
  <si>
    <t xml:space="preserve">F1029</t>
  </si>
  <si>
    <t xml:space="preserve">F1030</t>
  </si>
  <si>
    <t xml:space="preserve">F1031</t>
  </si>
  <si>
    <t xml:space="preserve">F1032</t>
  </si>
  <si>
    <t xml:space="preserve">F1033</t>
  </si>
  <si>
    <t xml:space="preserve">F1034</t>
  </si>
  <si>
    <t xml:space="preserve">F1035</t>
  </si>
  <si>
    <t xml:space="preserve">F1036</t>
  </si>
  <si>
    <t xml:space="preserve">F1037</t>
  </si>
  <si>
    <t xml:space="preserve">F1038</t>
  </si>
  <si>
    <t xml:space="preserve">F1039</t>
  </si>
  <si>
    <t xml:space="preserve">Good service</t>
  </si>
  <si>
    <t xml:space="preserve">F1040</t>
  </si>
  <si>
    <t xml:space="preserve">F1041</t>
  </si>
  <si>
    <t xml:space="preserve">F1042</t>
  </si>
  <si>
    <t xml:space="preserve">F1043</t>
  </si>
  <si>
    <t xml:space="preserve">F1044</t>
  </si>
  <si>
    <t xml:space="preserve">F1045</t>
  </si>
  <si>
    <t xml:space="preserve">F1046</t>
  </si>
  <si>
    <t xml:space="preserve">F1047</t>
  </si>
  <si>
    <t xml:space="preserve">F1048</t>
  </si>
  <si>
    <t xml:space="preserve">F1049</t>
  </si>
  <si>
    <t xml:space="preserve">F1050</t>
  </si>
  <si>
    <t xml:space="preserve">F1051</t>
  </si>
  <si>
    <t xml:space="preserve">F1052</t>
  </si>
  <si>
    <t xml:space="preserve">F1053</t>
  </si>
  <si>
    <t xml:space="preserve">F1054</t>
  </si>
  <si>
    <t xml:space="preserve">F1055</t>
  </si>
  <si>
    <t xml:space="preserve">F1056</t>
  </si>
  <si>
    <t xml:space="preserve">F1057</t>
  </si>
  <si>
    <t xml:space="preserve">F1058</t>
  </si>
  <si>
    <t xml:space="preserve">F1059</t>
  </si>
  <si>
    <t xml:space="preserve">F1060</t>
  </si>
  <si>
    <t xml:space="preserve">F1061</t>
  </si>
  <si>
    <t xml:space="preserve">F1062</t>
  </si>
  <si>
    <t xml:space="preserve">F1063</t>
  </si>
  <si>
    <t xml:space="preserve">F1064</t>
  </si>
  <si>
    <t xml:space="preserve">F1065</t>
  </si>
  <si>
    <t xml:space="preserve">F1066</t>
  </si>
  <si>
    <t xml:space="preserve">F1067</t>
  </si>
  <si>
    <t xml:space="preserve">F1068</t>
  </si>
  <si>
    <t xml:space="preserve">F1069</t>
  </si>
  <si>
    <t xml:space="preserve">F1070</t>
  </si>
  <si>
    <t xml:space="preserve">F1071</t>
  </si>
  <si>
    <t xml:space="preserve">F1072</t>
  </si>
  <si>
    <t xml:space="preserve">F1073</t>
  </si>
  <si>
    <t xml:space="preserve">F1074</t>
  </si>
  <si>
    <t xml:space="preserve">F1075</t>
  </si>
  <si>
    <t xml:space="preserve">F1076</t>
  </si>
  <si>
    <t xml:space="preserve">F1077</t>
  </si>
  <si>
    <t xml:space="preserve">F1079</t>
  </si>
  <si>
    <t xml:space="preserve">F1080</t>
  </si>
  <si>
    <t xml:space="preserve">F1081</t>
  </si>
  <si>
    <t xml:space="preserve">F1082</t>
  </si>
  <si>
    <t xml:space="preserve">F1083</t>
  </si>
  <si>
    <t xml:space="preserve">F1084</t>
  </si>
  <si>
    <t xml:space="preserve">F1085</t>
  </si>
  <si>
    <t xml:space="preserve">F1086</t>
  </si>
  <si>
    <t xml:space="preserve">F1087</t>
  </si>
  <si>
    <t xml:space="preserve">F1088</t>
  </si>
  <si>
    <t xml:space="preserve">F1089</t>
  </si>
  <si>
    <t xml:space="preserve">F1090</t>
  </si>
  <si>
    <t xml:space="preserve">F1091</t>
  </si>
  <si>
    <t xml:space="preserve">F1092</t>
  </si>
  <si>
    <t xml:space="preserve">F1093</t>
  </si>
  <si>
    <t xml:space="preserve">F1094</t>
  </si>
  <si>
    <t xml:space="preserve">F1095</t>
  </si>
  <si>
    <t xml:space="preserve">F1096</t>
  </si>
  <si>
    <t xml:space="preserve">F1097</t>
  </si>
  <si>
    <t xml:space="preserve">F1098</t>
  </si>
  <si>
    <t xml:space="preserve">F1099</t>
  </si>
  <si>
    <t xml:space="preserve">F1100</t>
  </si>
  <si>
    <t xml:space="preserve">F1101</t>
  </si>
  <si>
    <t xml:space="preserve">F1102</t>
  </si>
  <si>
    <t xml:space="preserve">F1103</t>
  </si>
  <si>
    <t xml:space="preserve">F1104</t>
  </si>
  <si>
    <t xml:space="preserve">F1105</t>
  </si>
  <si>
    <t xml:space="preserve">F1106</t>
  </si>
  <si>
    <t xml:space="preserve">F1107</t>
  </si>
  <si>
    <t xml:space="preserve">F1108</t>
  </si>
  <si>
    <t xml:space="preserve">F1109</t>
  </si>
  <si>
    <t xml:space="preserve">F1110</t>
  </si>
  <si>
    <t xml:space="preserve">F1111</t>
  </si>
  <si>
    <t xml:space="preserve">F1112</t>
  </si>
  <si>
    <t xml:space="preserve">F1113</t>
  </si>
  <si>
    <t xml:space="preserve">F1114</t>
  </si>
  <si>
    <t xml:space="preserve">F1115</t>
  </si>
  <si>
    <t xml:space="preserve">F1116</t>
  </si>
  <si>
    <t xml:space="preserve">F1117</t>
  </si>
  <si>
    <t xml:space="preserve">F1118</t>
  </si>
  <si>
    <t xml:space="preserve">F1119</t>
  </si>
  <si>
    <t xml:space="preserve">F1120</t>
  </si>
  <si>
    <t xml:space="preserve">F1121</t>
  </si>
  <si>
    <t xml:space="preserve">F1122</t>
  </si>
  <si>
    <t xml:space="preserve">F1123</t>
  </si>
  <si>
    <t xml:space="preserve">F1124</t>
  </si>
  <si>
    <t xml:space="preserve">F1126</t>
  </si>
  <si>
    <t xml:space="preserve">F1127</t>
  </si>
  <si>
    <t xml:space="preserve">F1128</t>
  </si>
  <si>
    <t xml:space="preserve">F1129</t>
  </si>
  <si>
    <t xml:space="preserve">F1130</t>
  </si>
  <si>
    <t xml:space="preserve">F1131</t>
  </si>
  <si>
    <t xml:space="preserve">F1132</t>
  </si>
  <si>
    <t xml:space="preserve">F1133</t>
  </si>
  <si>
    <t xml:space="preserve">F1134</t>
  </si>
  <si>
    <t xml:space="preserve">F1135</t>
  </si>
  <si>
    <t xml:space="preserve">F1136</t>
  </si>
  <si>
    <t xml:space="preserve">F1137</t>
  </si>
  <si>
    <t xml:space="preserve">F1138</t>
  </si>
  <si>
    <t xml:space="preserve">F1139</t>
  </si>
  <si>
    <t xml:space="preserve">F1140</t>
  </si>
  <si>
    <t xml:space="preserve">F1141</t>
  </si>
  <si>
    <t xml:space="preserve">F1142</t>
  </si>
  <si>
    <t xml:space="preserve">F1143</t>
  </si>
  <si>
    <t xml:space="preserve">F1144</t>
  </si>
  <si>
    <t xml:space="preserve">F1145</t>
  </si>
  <si>
    <t xml:space="preserve">F1146</t>
  </si>
  <si>
    <t xml:space="preserve">F1147</t>
  </si>
  <si>
    <t xml:space="preserve">F1148</t>
  </si>
  <si>
    <t xml:space="preserve">F1149</t>
  </si>
  <si>
    <t xml:space="preserve">F1150</t>
  </si>
  <si>
    <t xml:space="preserve">F1151</t>
  </si>
  <si>
    <t xml:space="preserve">F1152</t>
  </si>
  <si>
    <t xml:space="preserve">F1153</t>
  </si>
  <si>
    <t xml:space="preserve">F1154</t>
  </si>
  <si>
    <t xml:space="preserve">F1155</t>
  </si>
  <si>
    <t xml:space="preserve">F1156</t>
  </si>
  <si>
    <t xml:space="preserve">F1157</t>
  </si>
  <si>
    <t xml:space="preserve">F1158</t>
  </si>
  <si>
    <t xml:space="preserve">F1159</t>
  </si>
  <si>
    <t xml:space="preserve">F1160</t>
  </si>
  <si>
    <t xml:space="preserve">F1161</t>
  </si>
  <si>
    <t xml:space="preserve">F1162</t>
  </si>
  <si>
    <t xml:space="preserve">F1163</t>
  </si>
  <si>
    <t xml:space="preserve">F1164</t>
  </si>
  <si>
    <t xml:space="preserve">F1165</t>
  </si>
  <si>
    <t xml:space="preserve">F1166</t>
  </si>
  <si>
    <t xml:space="preserve">F1167</t>
  </si>
  <si>
    <t xml:space="preserve">F1168</t>
  </si>
  <si>
    <t xml:space="preserve">F1169</t>
  </si>
  <si>
    <t xml:space="preserve">F1170</t>
  </si>
  <si>
    <t xml:space="preserve">F1171</t>
  </si>
  <si>
    <t xml:space="preserve">F1172</t>
  </si>
  <si>
    <t xml:space="preserve">F1173</t>
  </si>
  <si>
    <t xml:space="preserve">F1174</t>
  </si>
  <si>
    <t xml:space="preserve">F1175</t>
  </si>
  <si>
    <t xml:space="preserve">F1176</t>
  </si>
  <si>
    <t xml:space="preserve">F1177</t>
  </si>
  <si>
    <t xml:space="preserve">F1178</t>
  </si>
  <si>
    <t xml:space="preserve">F1179</t>
  </si>
  <si>
    <t xml:space="preserve">F1180</t>
  </si>
  <si>
    <t xml:space="preserve">F1181</t>
  </si>
  <si>
    <t xml:space="preserve">F1182</t>
  </si>
  <si>
    <t xml:space="preserve">F1183</t>
  </si>
  <si>
    <t xml:space="preserve">F1184</t>
  </si>
  <si>
    <t xml:space="preserve">F1185</t>
  </si>
  <si>
    <t xml:space="preserve">F1186</t>
  </si>
  <si>
    <t xml:space="preserve">F1187</t>
  </si>
  <si>
    <t xml:space="preserve">F1188</t>
  </si>
  <si>
    <t xml:space="preserve">F1189</t>
  </si>
  <si>
    <t xml:space="preserve">F1190</t>
  </si>
  <si>
    <t xml:space="preserve">F1191</t>
  </si>
  <si>
    <t xml:space="preserve">F1192</t>
  </si>
  <si>
    <t xml:space="preserve">F1193</t>
  </si>
  <si>
    <t xml:space="preserve">F1194</t>
  </si>
  <si>
    <t xml:space="preserve">F1195</t>
  </si>
  <si>
    <t xml:space="preserve">F1196</t>
  </si>
  <si>
    <t xml:space="preserve">F1197</t>
  </si>
  <si>
    <t xml:space="preserve">F1198</t>
  </si>
  <si>
    <t xml:space="preserve">F1199</t>
  </si>
  <si>
    <t xml:space="preserve">ResourceID</t>
  </si>
  <si>
    <t xml:space="preserve">ResourceType</t>
  </si>
  <si>
    <t xml:space="preserve">UsageHours</t>
  </si>
  <si>
    <t xml:space="preserve">Availability</t>
  </si>
  <si>
    <t xml:space="preserve">R5487</t>
  </si>
  <si>
    <t xml:space="preserve">Nurse</t>
  </si>
  <si>
    <t xml:space="preserve">Available</t>
  </si>
  <si>
    <t xml:space="preserve">R8097</t>
  </si>
  <si>
    <t xml:space="preserve">Doctor</t>
  </si>
  <si>
    <t xml:space="preserve">Unavailable</t>
  </si>
  <si>
    <t xml:space="preserve">R2557</t>
  </si>
  <si>
    <t xml:space="preserve">Room</t>
  </si>
  <si>
    <t xml:space="preserve">Under Maintenance</t>
  </si>
  <si>
    <t xml:space="preserve">R9024</t>
  </si>
  <si>
    <t xml:space="preserve">R9181</t>
  </si>
  <si>
    <t xml:space="preserve">R2629</t>
  </si>
  <si>
    <t xml:space="preserve">R1317</t>
  </si>
  <si>
    <t xml:space="preserve">R9640</t>
  </si>
  <si>
    <t xml:space="preserve">R1787</t>
  </si>
  <si>
    <t xml:space="preserve">R9426</t>
  </si>
  <si>
    <t xml:space="preserve">Technician</t>
  </si>
  <si>
    <t xml:space="preserve">In Use</t>
  </si>
  <si>
    <t xml:space="preserve">R1606</t>
  </si>
  <si>
    <t xml:space="preserve">R3242</t>
  </si>
  <si>
    <t xml:space="preserve">R6893</t>
  </si>
  <si>
    <t xml:space="preserve">R3237</t>
  </si>
  <si>
    <t xml:space="preserve">R5274</t>
  </si>
  <si>
    <t xml:space="preserve">R1039</t>
  </si>
  <si>
    <t xml:space="preserve">R5597</t>
  </si>
  <si>
    <t xml:space="preserve">R2939</t>
  </si>
  <si>
    <t xml:space="preserve">R8840</t>
  </si>
  <si>
    <t xml:space="preserve">R5074</t>
  </si>
  <si>
    <t xml:space="preserve">R3855</t>
  </si>
  <si>
    <t xml:space="preserve">R8405</t>
  </si>
  <si>
    <t xml:space="preserve">R5984</t>
  </si>
  <si>
    <t xml:space="preserve">Equipment</t>
  </si>
  <si>
    <t xml:space="preserve">R6968</t>
  </si>
  <si>
    <t xml:space="preserve">R7116</t>
  </si>
  <si>
    <t xml:space="preserve">R4399</t>
  </si>
  <si>
    <t xml:space="preserve">R6261</t>
  </si>
  <si>
    <t xml:space="preserve">R9923</t>
  </si>
  <si>
    <t xml:space="preserve">R6097</t>
  </si>
  <si>
    <t xml:space="preserve">R1624</t>
  </si>
  <si>
    <t xml:space="preserve">R6385</t>
  </si>
  <si>
    <t xml:space="preserve">R2625</t>
  </si>
  <si>
    <t xml:space="preserve">R3097</t>
  </si>
  <si>
    <t xml:space="preserve">R5532</t>
  </si>
  <si>
    <t xml:space="preserve">R8648</t>
  </si>
  <si>
    <t xml:space="preserve">R6744</t>
  </si>
  <si>
    <t xml:space="preserve">R6436</t>
  </si>
  <si>
    <t xml:space="preserve">R4593</t>
  </si>
  <si>
    <t xml:space="preserve">R7325</t>
  </si>
  <si>
    <t xml:space="preserve">R7808</t>
  </si>
  <si>
    <t xml:space="preserve">R5805</t>
  </si>
  <si>
    <t xml:space="preserve">R3667</t>
  </si>
  <si>
    <t xml:space="preserve">R2833</t>
  </si>
  <si>
    <t xml:space="preserve">R5799</t>
  </si>
  <si>
    <t xml:space="preserve">R2825</t>
  </si>
  <si>
    <t xml:space="preserve">R5252</t>
  </si>
  <si>
    <t xml:space="preserve">R7354</t>
  </si>
  <si>
    <t xml:space="preserve">R2717</t>
  </si>
  <si>
    <t xml:space="preserve">R3782</t>
  </si>
  <si>
    <t xml:space="preserve">R1276</t>
  </si>
  <si>
    <t xml:space="preserve">R2832</t>
  </si>
  <si>
    <t xml:space="preserve">R7226</t>
  </si>
  <si>
    <t xml:space="preserve">R3607</t>
  </si>
  <si>
    <t xml:space="preserve">R9177</t>
  </si>
  <si>
    <t xml:space="preserve">R1427</t>
  </si>
  <si>
    <t xml:space="preserve">R1381</t>
  </si>
  <si>
    <t xml:space="preserve">R6613</t>
  </si>
  <si>
    <t xml:space="preserve">R7395</t>
  </si>
  <si>
    <t xml:space="preserve">R8110</t>
  </si>
  <si>
    <t xml:space="preserve">R5282</t>
  </si>
  <si>
    <t xml:space="preserve">R6766</t>
  </si>
  <si>
    <t xml:space="preserve">R5926</t>
  </si>
  <si>
    <t xml:space="preserve">R5415</t>
  </si>
  <si>
    <t xml:space="preserve">R3528</t>
  </si>
  <si>
    <t xml:space="preserve">R9442</t>
  </si>
  <si>
    <t xml:space="preserve">R9566</t>
  </si>
  <si>
    <t xml:space="preserve">R8012</t>
  </si>
  <si>
    <t xml:space="preserve">R4883</t>
  </si>
  <si>
    <t xml:space="preserve">R2401</t>
  </si>
  <si>
    <t xml:space="preserve">R7211</t>
  </si>
  <si>
    <t xml:space="preserve">R9738</t>
  </si>
  <si>
    <t xml:space="preserve">R1429</t>
  </si>
  <si>
    <t xml:space="preserve">R7486</t>
  </si>
  <si>
    <t xml:space="preserve">R2221</t>
  </si>
  <si>
    <t xml:space="preserve">R8679</t>
  </si>
  <si>
    <t xml:space="preserve">R7880</t>
  </si>
  <si>
    <t xml:space="preserve">R9173</t>
  </si>
  <si>
    <t xml:space="preserve">R8674</t>
  </si>
  <si>
    <t xml:space="preserve">R3194</t>
  </si>
  <si>
    <t xml:space="preserve">R8628</t>
  </si>
  <si>
    <t xml:space="preserve">R8103</t>
  </si>
  <si>
    <t xml:space="preserve">R4911</t>
  </si>
  <si>
    <t xml:space="preserve">R8724</t>
  </si>
  <si>
    <t xml:space="preserve">R3152</t>
  </si>
  <si>
    <t xml:space="preserve">R8641</t>
  </si>
  <si>
    <t xml:space="preserve">R4369</t>
  </si>
  <si>
    <t xml:space="preserve">R2354</t>
  </si>
  <si>
    <t xml:space="preserve">R9147</t>
  </si>
  <si>
    <t xml:space="preserve">R8105</t>
  </si>
  <si>
    <t xml:space="preserve">R9167</t>
  </si>
  <si>
    <t xml:space="preserve">R3746</t>
  </si>
  <si>
    <t xml:space="preserve">R9081</t>
  </si>
  <si>
    <t xml:space="preserve">R1794</t>
  </si>
  <si>
    <t xml:space="preserve">R7782</t>
  </si>
  <si>
    <t xml:space="preserve">R7818</t>
  </si>
  <si>
    <t xml:space="preserve">R6399</t>
  </si>
  <si>
    <t xml:space="preserve">R4520</t>
  </si>
  <si>
    <t xml:space="preserve">R7243</t>
  </si>
  <si>
    <t xml:space="preserve">R5582</t>
  </si>
  <si>
    <t xml:space="preserve">R4033</t>
  </si>
  <si>
    <t xml:space="preserve">R2577</t>
  </si>
  <si>
    <t xml:space="preserve">R4743</t>
  </si>
  <si>
    <t xml:space="preserve">R3325</t>
  </si>
  <si>
    <t xml:space="preserve">R1133</t>
  </si>
  <si>
    <t xml:space="preserve">R2734</t>
  </si>
  <si>
    <t xml:space="preserve">R4411</t>
  </si>
  <si>
    <t xml:space="preserve">R4657</t>
  </si>
  <si>
    <t xml:space="preserve">R5595</t>
  </si>
  <si>
    <t xml:space="preserve">R3368</t>
  </si>
  <si>
    <t xml:space="preserve">R3590</t>
  </si>
  <si>
    <t xml:space="preserve">R1636</t>
  </si>
  <si>
    <t xml:space="preserve">R1419</t>
  </si>
  <si>
    <t xml:space="preserve">R7729</t>
  </si>
  <si>
    <t xml:space="preserve">R7577</t>
  </si>
  <si>
    <t xml:space="preserve">R3762</t>
  </si>
  <si>
    <t xml:space="preserve">R6690</t>
  </si>
  <si>
    <t xml:space="preserve">R3388</t>
  </si>
  <si>
    <t xml:space="preserve">R4334</t>
  </si>
  <si>
    <t xml:space="preserve">R7162</t>
  </si>
  <si>
    <t xml:space="preserve">R4580</t>
  </si>
  <si>
    <t xml:space="preserve">R3442</t>
  </si>
  <si>
    <t xml:space="preserve">R1998</t>
  </si>
  <si>
    <t xml:space="preserve">R3393</t>
  </si>
  <si>
    <t xml:space="preserve">R2004</t>
  </si>
  <si>
    <t xml:space="preserve">R3795</t>
  </si>
  <si>
    <t xml:space="preserve">R5550</t>
  </si>
  <si>
    <t xml:space="preserve">R1369</t>
  </si>
  <si>
    <t xml:space="preserve">R9210</t>
  </si>
  <si>
    <t xml:space="preserve">R7907</t>
  </si>
  <si>
    <t xml:space="preserve">R5061</t>
  </si>
  <si>
    <t xml:space="preserve">R3257</t>
  </si>
  <si>
    <t xml:space="preserve">R6179</t>
  </si>
  <si>
    <t xml:space="preserve">R2158</t>
  </si>
  <si>
    <t xml:space="preserve">R4245</t>
  </si>
  <si>
    <t xml:space="preserve">R3900</t>
  </si>
  <si>
    <t xml:space="preserve">R8250</t>
  </si>
  <si>
    <t xml:space="preserve">R7871</t>
  </si>
  <si>
    <t xml:space="preserve">R8375</t>
  </si>
  <si>
    <t xml:space="preserve">R6418</t>
  </si>
  <si>
    <t xml:space="preserve">R6093</t>
  </si>
  <si>
    <t xml:space="preserve">R3410</t>
  </si>
  <si>
    <t xml:space="preserve">R2697</t>
  </si>
  <si>
    <t xml:space="preserve">R5378</t>
  </si>
  <si>
    <t xml:space="preserve">R3296</t>
  </si>
  <si>
    <t xml:space="preserve">R1892</t>
  </si>
  <si>
    <t xml:space="preserve">R8443</t>
  </si>
  <si>
    <t xml:space="preserve">R6719</t>
  </si>
  <si>
    <t xml:space="preserve">R1525</t>
  </si>
  <si>
    <t xml:space="preserve">R2602</t>
  </si>
  <si>
    <t xml:space="preserve">R2439</t>
  </si>
  <si>
    <t xml:space="preserve">R4120</t>
  </si>
  <si>
    <t xml:space="preserve">R6450</t>
  </si>
  <si>
    <t xml:space="preserve">R3212</t>
  </si>
  <si>
    <t xml:space="preserve">R3470</t>
  </si>
  <si>
    <t xml:space="preserve">R4198</t>
  </si>
  <si>
    <t xml:space="preserve">R6653</t>
  </si>
  <si>
    <t xml:space="preserve">R9325</t>
  </si>
  <si>
    <t xml:space="preserve">R5653</t>
  </si>
  <si>
    <t xml:space="preserve">R9221</t>
  </si>
  <si>
    <t xml:space="preserve">R4576</t>
  </si>
  <si>
    <t xml:space="preserve">R5250</t>
  </si>
  <si>
    <t xml:space="preserve">R9942</t>
  </si>
  <si>
    <t xml:space="preserve">R9637</t>
  </si>
  <si>
    <t xml:space="preserve">R6571</t>
  </si>
  <si>
    <t xml:space="preserve">R8275</t>
  </si>
  <si>
    <t xml:space="preserve">R3024</t>
  </si>
  <si>
    <t xml:space="preserve">R9407</t>
  </si>
  <si>
    <t xml:space="preserve">R4375</t>
  </si>
  <si>
    <t xml:space="preserve">R4311</t>
  </si>
  <si>
    <t xml:space="preserve">R6892</t>
  </si>
  <si>
    <t xml:space="preserve">R5035</t>
  </si>
  <si>
    <t xml:space="preserve">R8869</t>
  </si>
  <si>
    <t xml:space="preserve">R1032</t>
  </si>
  <si>
    <t xml:space="preserve">R7483</t>
  </si>
  <si>
    <t xml:space="preserve">R7873</t>
  </si>
  <si>
    <t xml:space="preserve">R5286</t>
  </si>
  <si>
    <t xml:space="preserve">R6508</t>
  </si>
  <si>
    <t xml:space="preserve">R7949</t>
  </si>
  <si>
    <t xml:space="preserve">R9477</t>
  </si>
  <si>
    <t xml:space="preserve">R4395</t>
  </si>
  <si>
    <t xml:space="preserve">R3146</t>
  </si>
  <si>
    <t xml:space="preserve">R2220</t>
  </si>
  <si>
    <t xml:space="preserve">R7334</t>
  </si>
  <si>
    <t xml:space="preserve">R1597</t>
  </si>
  <si>
    <t xml:space="preserve">R3553</t>
  </si>
  <si>
    <t xml:space="preserve">R3833</t>
  </si>
  <si>
    <t xml:space="preserve">R7417</t>
  </si>
  <si>
    <t xml:space="preserve">R3526</t>
  </si>
  <si>
    <t xml:space="preserve">R5504</t>
  </si>
  <si>
    <t xml:space="preserve">R8032</t>
  </si>
  <si>
    <t xml:space="preserve">R2554</t>
  </si>
  <si>
    <t xml:space="preserve">R9553</t>
  </si>
  <si>
    <t xml:space="preserve">R1385</t>
  </si>
  <si>
    <t xml:space="preserve">R8161</t>
  </si>
  <si>
    <t xml:space="preserve">R5806</t>
  </si>
  <si>
    <t xml:space="preserve">R1560</t>
  </si>
  <si>
    <t xml:space="preserve">R3933</t>
  </si>
  <si>
    <t xml:space="preserve">Patient ID</t>
  </si>
  <si>
    <t xml:space="preserve">Appointment Date</t>
  </si>
  <si>
    <t xml:space="preserve">Wait Time (in min)</t>
  </si>
  <si>
    <t xml:space="preserve">Satisfaction Level</t>
  </si>
  <si>
    <t xml:space="preserve">Appointments by Department and Hour of Day</t>
  </si>
  <si>
    <t xml:space="preserve">8:00</t>
  </si>
  <si>
    <t xml:space="preserve">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</si>
  <si>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</si>
  <si>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</si>
  <si>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</si>
  <si>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</si>
  <si>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</si>
  <si>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</si>
  <si>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</si>
  <si>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</si>
  <si>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</si>
  <si>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Total</t>
  </si>
  <si>
    <t xml:space="preserve">Satisfaction Levels by Department</t>
  </si>
  <si>
    <t xml:space="preserve">High</t>
  </si>
  <si>
    <t xml:space="preserve">Low</t>
  </si>
  <si>
    <t xml:space="preserve">Average Resource Utilization (Usage Hours) by Department</t>
  </si>
  <si>
    <t xml:space="preserve">Avg Usage Hours</t>
  </si>
  <si>
    <t xml:space="preserve">Resource Count</t>
  </si>
  <si>
    <t xml:space="preserve">Utilization Status</t>
  </si>
  <si>
    <t xml:space="preserve">Task 3: Trend Identification</t>
  </si>
  <si>
    <t xml:space="preserve">1. Appointments by Day of Week</t>
  </si>
  <si>
    <t xml:space="preserve">2. Appointments by Hour of Day</t>
  </si>
  <si>
    <t xml:space="preserve">Day</t>
  </si>
  <si>
    <t xml:space="preserve">Appointment Count</t>
  </si>
  <si>
    <t xml:space="preserve">Monday</t>
  </si>
  <si>
    <t xml:space="preserve">Tuesday</t>
  </si>
  <si>
    <t xml:space="preserve">Wednesday</t>
  </si>
  <si>
    <t xml:space="preserve">Thursday</t>
  </si>
  <si>
    <t xml:space="preserve">Friday</t>
  </si>
  <si>
    <t xml:space="preserve">Saturday</t>
  </si>
  <si>
    <t xml:space="preserve">Sunday</t>
  </si>
  <si>
    <t xml:space="preserve">Busiest Day:</t>
  </si>
  <si>
    <t xml:space="preserve">Busiest Hour:</t>
  </si>
  <si>
    <t xml:space="preserve">3. Average Feedback Score by Department (Highest / Lowest Satisfaction)</t>
  </si>
  <si>
    <t xml:space="preserve">4. Low-Satisfaction Feedback Count by Appointment Hour</t>
  </si>
  <si>
    <t xml:space="preserve">Avg Feedback Score</t>
  </si>
  <si>
    <t xml:space="preserve">Total Feedback</t>
  </si>
  <si>
    <t xml:space="preserve">Low Count</t>
  </si>
  <si>
    <t xml:space="preserve">Low %</t>
  </si>
  <si>
    <t xml:space="preserve">Highest Satisfaction Dept:</t>
  </si>
  <si>
    <t xml:space="preserve">Lowest Satisfaction Dept:</t>
  </si>
  <si>
    <t xml:space="preserve">Hour with Highest Low% :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</si>
</sst>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mm\/dd\/yyyy"/>
    <numFmt numFmtId="166" formatCode="[$-409]hh:mm\ AM/PM;@"/>
    <numFmt numFmtId="167" formatCode="mm/dd/yyyy"/>
    <numFmt numFmtId="168" formatCode="[$-409]h:mm\ AM/PM;@"/>
    <numFmt numFmtId="169" formatCode="General"/>
    <numFmt numFmtId="170" formatCode="0.00"/>
    <numFmt numFmtId="171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5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>
          <bgColor theme="7" tint="0.5999"/>
        </patternFill>
      </fill>
    </dxf>
    <dxf>
      <fill>
        <patternFill>
          <bgColor theme="7" tint="0.3999"/>
        </patternFill>
      </fill>
    </dxf>
    <dxf>
      <fill>
        <patternFill patternType="solid">
          <fgColor rgb="FF4472C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D966"/>
      <rgbColor rgb="FF4472C4"/>
      <rgbColor rgb="FF33CCCC"/>
      <rgbColor rgb="FF99CC00"/>
      <rgbColor rgb="FFFFCC00"/>
      <rgbColor rgb="FFFF9900"/>
      <rgbColor rgb="FFED7D31"/>
      <rgbColor rgb="FF666699"/>
      <rgbColor rgb="FFB3B3B3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Satisfaction Levels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Pivot_Satisfaction!B3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4472c4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Pivot_Satisfaction!$A$4:$A$10</c:f>
              <c:strCache>
                <c:ptCount val="7"/>
                <c:pt idx="0">
                  <c:v>Cardiology</c:v>
                </c:pt>
                <c:pt idx="1">
                  <c:v>General Medicine</c:v>
                </c:pt>
                <c:pt idx="2">
                  <c:v>Neurology</c:v>
                </c:pt>
                <c:pt idx="3">
                  <c:v>Oncology</c:v>
                </c:pt>
                <c:pt idx="4">
                  <c:v>Orthopedics</c:v>
                </c:pt>
                <c:pt idx="5">
                  <c:v>Pediatric</c:v>
                </c:pt>
                <c:pt idx="6">
                  <c:v>N/A</c:v>
                </c:pt>
              </c:strCache>
            </c:strRef>
          </c:cat>
          <c:val>
            <c:numRef>
              <c:f>Pivot_Satisfaction!$B$4:$B$10</c:f>
              <c:numCache>
                <c:formatCode>General</c:formatCode>
                <c:ptCount val="7"/>
                <c:pt idx="0">
                  <c:v>31</c:v>
                </c:pt>
                <c:pt idx="1">
                  <c:v>21</c:v>
                </c:pt>
                <c:pt idx="2">
                  <c:v>33</c:v>
                </c:pt>
                <c:pt idx="3">
                  <c:v>26</c:v>
                </c:pt>
                <c:pt idx="4">
                  <c:v>21</c:v>
                </c:pt>
                <c:pt idx="5">
                  <c:v>32</c:v>
                </c:pt>
                <c:pt idx="6">
                  <c:v>8</c:v>
                </c:pt>
              </c:numCache>
            </c:numRef>
          </c:val>
        </c:ser>
        <c:ser>
          <c:idx val="1"/>
          <c:order val="1"/>
          <c:tx>
            <c:strRef>
              <c:f>Pivot_Satisfaction!C3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ed7d31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Pivot_Satisfaction!$A$4:$A$10</c:f>
              <c:strCache>
                <c:ptCount val="7"/>
                <c:pt idx="0">
                  <c:v>Cardiology</c:v>
                </c:pt>
                <c:pt idx="1">
                  <c:v>General Medicine</c:v>
                </c:pt>
                <c:pt idx="2">
                  <c:v>Neurology</c:v>
                </c:pt>
                <c:pt idx="3">
                  <c:v>Oncology</c:v>
                </c:pt>
                <c:pt idx="4">
                  <c:v>Orthopedics</c:v>
                </c:pt>
                <c:pt idx="5">
                  <c:v>Pediatric</c:v>
                </c:pt>
                <c:pt idx="6">
                  <c:v>N/A</c:v>
                </c:pt>
              </c:strCache>
            </c:strRef>
          </c:cat>
          <c:val>
            <c:numRef>
              <c:f>Pivot_Satisfaction!$C$4:$C$10</c:f>
              <c:numCache>
                <c:formatCode>General</c:formatCode>
                <c:ptCount val="7"/>
                <c:pt idx="0">
                  <c:v>2</c:v>
                </c:pt>
                <c:pt idx="1">
                  <c:v>5</c:v>
                </c:pt>
                <c:pt idx="2">
                  <c:v>1</c:v>
                </c:pt>
                <c:pt idx="3">
                  <c:v>6</c:v>
                </c:pt>
                <c:pt idx="4">
                  <c:v>8</c:v>
                </c:pt>
                <c:pt idx="5">
                  <c:v>5</c:v>
                </c:pt>
                <c:pt idx="6">
                  <c:v>0</c:v>
                </c:pt>
              </c:numCache>
            </c:numRef>
          </c:val>
        </c:ser>
        <c:gapWidth val="150"/>
        <c:overlap val="0"/>
        <c:axId val="52381638"/>
        <c:axId val="34806954"/>
      </c:barChart>
      <c:catAx>
        <c:axId val="5238163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Department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806954"/>
        <c:crosses val="autoZero"/>
        <c:auto val="1"/>
        <c:lblAlgn val="ctr"/>
        <c:lblOffset val="100"/>
        <c:noMultiLvlLbl val="0"/>
      </c:catAx>
      <c:valAx>
        <c:axId val="3480695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Feedback 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38163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Resource Utilization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Pivot_Resource!B3</c:f>
              <c:strCache>
                <c:ptCount val="1"/>
                <c:pt idx="0">
                  <c:v>Avg Usage Hours</c:v>
                </c:pt>
              </c:strCache>
            </c:strRef>
          </c:tx>
          <c:spPr>
            <a:solidFill>
              <a:srgbClr val="4472c4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Pivot_Resource!$A$4:$A$10</c:f>
              <c:strCache>
                <c:ptCount val="7"/>
                <c:pt idx="0">
                  <c:v>Cardiology</c:v>
                </c:pt>
                <c:pt idx="1">
                  <c:v>General Medicine</c:v>
                </c:pt>
                <c:pt idx="2">
                  <c:v>Neurology</c:v>
                </c:pt>
                <c:pt idx="3">
                  <c:v>Oncology</c:v>
                </c:pt>
                <c:pt idx="4">
                  <c:v>Orthopedics</c:v>
                </c:pt>
                <c:pt idx="5">
                  <c:v>Pediatric</c:v>
                </c:pt>
                <c:pt idx="6">
                  <c:v>N/A</c:v>
                </c:pt>
              </c:strCache>
            </c:strRef>
          </c:cat>
          <c:val>
            <c:numRef>
              <c:f>Pivot_Resource!$B$4:$B$10</c:f>
              <c:numCache>
                <c:formatCode>0.00</c:formatCode>
                <c:ptCount val="7"/>
                <c:pt idx="0">
                  <c:v>4.18181818181818</c:v>
                </c:pt>
                <c:pt idx="1">
                  <c:v>3.41025641025641</c:v>
                </c:pt>
                <c:pt idx="2">
                  <c:v>3.79411764705882</c:v>
                </c:pt>
                <c:pt idx="3">
                  <c:v>3.55555555555556</c:v>
                </c:pt>
                <c:pt idx="4">
                  <c:v>3.37037037037037</c:v>
                </c:pt>
                <c:pt idx="5">
                  <c:v>4.85</c:v>
                </c:pt>
                <c:pt idx="6">
                  <c:v>1.5</c:v>
                </c:pt>
              </c:numCache>
            </c:numRef>
          </c:val>
        </c:ser>
        <c:gapWidth val="150"/>
        <c:overlap val="0"/>
        <c:axId val="27945569"/>
        <c:axId val="7101295"/>
      </c:barChart>
      <c:catAx>
        <c:axId val="27945569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Avg Usage 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01295"/>
        <c:crosses val="autoZero"/>
        <c:auto val="1"/>
        <c:lblAlgn val="ctr"/>
        <c:lblOffset val="100"/>
        <c:noMultiLvlLbl val="0"/>
      </c:catAx>
      <c:valAx>
        <c:axId val="710129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Department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94556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Peak Appointment Hours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Trends_Analysis!E5</c:f>
              <c:strCache>
                <c:ptCount val="1"/>
                <c:pt idx="0">
                  <c:v>Appointment Count</c:v>
                </c:pt>
              </c:strCache>
            </c:strRef>
          </c:tx>
          <c:spPr>
            <a:solidFill>
              <a:srgbClr val="4472c4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Trends_Analysis!$D$6:$D$17</c:f>
              <c:strCache>
                <c:ptCount val="12"/>
                <c:pt idx="0">
                  <c:v>8:00</c:v>
                </c:pt>
                <c:pt idx="1">
                  <c:v>9:00</c:v>
                </c:pt>
                <c:pt idx="2">
                  <c:v>10:00</c:v>
                </c:pt>
                <c:pt idx="3">
                  <c:v>11:00</c:v>
                </c:pt>
                <c:pt idx="4">
                  <c:v>12:00</c:v>
                </c:pt>
                <c:pt idx="5">
                  <c:v>13:00</c:v>
                </c:pt>
                <c:pt idx="6">
                  <c:v>14:00</c:v>
                </c:pt>
                <c:pt idx="7">
                  <c:v>15:00</c:v>
                </c:pt>
                <c:pt idx="8">
                  <c:v>16:00</c:v>
                </c:pt>
                <c:pt idx="9">
                  <c:v>17:00</c:v>
                </c:pt>
                <c:pt idx="10">
                  <c:v>18:00</c:v>
                </c:pt>
                <c:pt idx="11">
                  <c:v>N/A</c:v>
                </c:pt>
              </c:strCache>
            </c:strRef>
          </c:cat>
          <c:val>
            <c:numRef>
              <c:f>Trends_Analysis!$E$6:$E$17</c:f>
              <c:numCache>
                <c:formatCode>General</c:formatCode>
                <c:ptCount val="12"/>
                <c:pt idx="0">
                  <c:v>18</c:v>
                </c:pt>
                <c:pt idx="1">
                  <c:v>15</c:v>
                </c:pt>
                <c:pt idx="2">
                  <c:v>14</c:v>
                </c:pt>
                <c:pt idx="3">
                  <c:v>17</c:v>
                </c:pt>
                <c:pt idx="4">
                  <c:v>18</c:v>
                </c:pt>
                <c:pt idx="5">
                  <c:v>12</c:v>
                </c:pt>
                <c:pt idx="6">
                  <c:v>13</c:v>
                </c:pt>
                <c:pt idx="7">
                  <c:v>19</c:v>
                </c:pt>
                <c:pt idx="8">
                  <c:v>18</c:v>
                </c:pt>
                <c:pt idx="9">
                  <c:v>20</c:v>
                </c:pt>
                <c:pt idx="10">
                  <c:v>27</c:v>
                </c:pt>
                <c:pt idx="11">
                  <c:v>10</c:v>
                </c:pt>
              </c:numCache>
            </c:numRef>
          </c:val>
        </c:ser>
        <c:gapWidth val="150"/>
        <c:overlap val="0"/>
        <c:axId val="52160542"/>
        <c:axId val="97002794"/>
      </c:barChart>
      <c:catAx>
        <c:axId val="5216054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Hour of 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002794"/>
        <c:crosses val="autoZero"/>
        <c:auto val="1"/>
        <c:lblAlgn val="ctr"/>
        <c:lblOffset val="100"/>
        <c:noMultiLvlLbl val="0"/>
      </c:catAx>
      <c:valAx>
        <c:axId val="9700279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Number of Appointments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16054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12</xdr:row>
      <xdr:rowOff>0</xdr:rowOff>
    </xdr:from>
    <xdr:to>
      <xdr:col>8</xdr:col>
      <xdr:colOff>556920</xdr:colOff>
      <xdr:row>29</xdr:row>
      <xdr:rowOff>1080</xdr:rowOff>
    </xdr:to>
    <xdr:graphicFrame>
      <xdr:nvGraphicFramePr>
        <xdr:cNvPr id="0" name="Chart 1"/>
        <xdr:cNvGraphicFramePr/>
      </xdr:nvGraphicFramePr>
      <xdr:xfrm>
        <a:off x="0" y="229536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12</xdr:row>
      <xdr:rowOff>0</xdr:rowOff>
    </xdr:from>
    <xdr:to>
      <xdr:col>7</xdr:col>
      <xdr:colOff>368280</xdr:colOff>
      <xdr:row>29</xdr:row>
      <xdr:rowOff>1080</xdr:rowOff>
    </xdr:to>
    <xdr:graphicFrame>
      <xdr:nvGraphicFramePr>
        <xdr:cNvPr id="1" name="Chart 1"/>
        <xdr:cNvGraphicFramePr/>
      </xdr:nvGraphicFramePr>
      <xdr:xfrm>
        <a:off x="0" y="229536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36</xdr:row>
      <xdr:rowOff>0</xdr:rowOff>
    </xdr:from>
    <xdr:to>
      <xdr:col>12</xdr:col>
      <xdr:colOff>320760</xdr:colOff>
      <xdr:row>53</xdr:row>
      <xdr:rowOff>1080</xdr:rowOff>
    </xdr:to>
    <xdr:graphicFrame>
      <xdr:nvGraphicFramePr>
        <xdr:cNvPr id="2" name="Chart 1"/>
        <xdr:cNvGraphicFramePr/>
      </xdr:nvGraphicFramePr>
      <xdr:xfrm>
        <a:off x="2396520" y="689616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" activeCellId="0" sqref="F1"/>
    </sheetView>
  </sheetViews>
  <sheetFormatPr defaultColWidth="16.09375" defaultRowHeight="14.25" zeroHeight="false" outlineLevelRow="0" outlineLevelCol="0"/>
  <cols>
    <col collapsed="false" customWidth="false" hidden="false" outlineLevel="0" max="5" min="5" style="1" width="16.09"/>
    <col collapsed="false" customWidth="false" hidden="false" outlineLevel="0" max="6" min="6" style="2" width="16.09"/>
  </cols>
  <sheetData>
    <row r="1" customFormat="false" ht="14.25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3" t="s">
        <v>6</v>
      </c>
      <c r="H1" s="6" t="s">
        <v>7</v>
      </c>
      <c r="I1" s="6" t="s">
        <v>8</v>
      </c>
    </row>
    <row r="2" customFormat="false" ht="14.25" hidden="false" customHeight="true" outlineLevel="0" collapsed="false">
      <c r="A2" s="3" t="s">
        <v>9</v>
      </c>
      <c r="B2" s="3" t="s">
        <v>10</v>
      </c>
      <c r="C2" s="3" t="s">
        <v>11</v>
      </c>
      <c r="D2" s="3" t="s">
        <v>12</v>
      </c>
      <c r="E2" s="4" t="n">
        <v>45292</v>
      </c>
      <c r="F2" s="5" t="s">
        <v>9</v>
      </c>
      <c r="G2" s="3" t="s">
        <v>9</v>
      </c>
      <c r="H2" s="7" t="str">
        <f aca="false">IFERROR(HOUR(F2),"N/A")</f>
        <v>N/A</v>
      </c>
      <c r="I2" s="7" t="str">
        <f aca="false">IFERROR(TEXT(E2,"dddd"),"N/A")</f>
        <v>Monday</v>
      </c>
    </row>
    <row r="3" customFormat="false" ht="14.25" hidden="false" customHeight="true" outlineLevel="0" collapsed="false">
      <c r="A3" s="3" t="s">
        <v>13</v>
      </c>
      <c r="B3" s="3" t="s">
        <v>14</v>
      </c>
      <c r="C3" s="3" t="s">
        <v>15</v>
      </c>
      <c r="D3" s="3" t="s">
        <v>16</v>
      </c>
      <c r="E3" s="4" t="n">
        <v>45545</v>
      </c>
      <c r="F3" s="5" t="n">
        <v>0.541666666666667</v>
      </c>
      <c r="G3" s="3" t="s">
        <v>17</v>
      </c>
      <c r="H3" s="7" t="n">
        <f aca="false">IFERROR(HOUR(F3),"N/A")</f>
        <v>13</v>
      </c>
      <c r="I3" s="7" t="str">
        <f aca="false">IFERROR(TEXT(E3,"dddd"),"N/A")</f>
        <v>Tuesday</v>
      </c>
    </row>
    <row r="4" customFormat="false" ht="14.25" hidden="false" customHeight="true" outlineLevel="0" collapsed="false">
      <c r="A4" s="3" t="s">
        <v>18</v>
      </c>
      <c r="B4" s="3" t="s">
        <v>19</v>
      </c>
      <c r="C4" s="3" t="s">
        <v>20</v>
      </c>
      <c r="D4" s="3" t="s">
        <v>12</v>
      </c>
      <c r="E4" s="4" t="n">
        <v>45643</v>
      </c>
      <c r="F4" s="5" t="n">
        <v>0.625</v>
      </c>
      <c r="G4" s="3" t="s">
        <v>21</v>
      </c>
      <c r="H4" s="7" t="n">
        <f aca="false">IFERROR(HOUR(F4),"N/A")</f>
        <v>15</v>
      </c>
      <c r="I4" s="7" t="str">
        <f aca="false">IFERROR(TEXT(E4,"dddd"),"N/A")</f>
        <v>Tuesday</v>
      </c>
    </row>
    <row r="5" customFormat="false" ht="14.25" hidden="false" customHeight="true" outlineLevel="0" collapsed="false">
      <c r="A5" s="3" t="s">
        <v>22</v>
      </c>
      <c r="B5" s="3" t="s">
        <v>23</v>
      </c>
      <c r="C5" s="3" t="s">
        <v>20</v>
      </c>
      <c r="D5" s="3" t="s">
        <v>24</v>
      </c>
      <c r="E5" s="4" t="n">
        <v>45482</v>
      </c>
      <c r="F5" s="5" t="n">
        <v>0.645833333333333</v>
      </c>
      <c r="G5" s="3" t="s">
        <v>25</v>
      </c>
      <c r="H5" s="7" t="n">
        <f aca="false">IFERROR(HOUR(F5),"N/A")</f>
        <v>15</v>
      </c>
      <c r="I5" s="7" t="str">
        <f aca="false">IFERROR(TEXT(E5,"dddd"),"N/A")</f>
        <v>Tuesday</v>
      </c>
    </row>
    <row r="6" customFormat="false" ht="14.25" hidden="false" customHeight="true" outlineLevel="0" collapsed="false">
      <c r="A6" s="3" t="s">
        <v>26</v>
      </c>
      <c r="B6" s="3" t="s">
        <v>27</v>
      </c>
      <c r="C6" s="3" t="s">
        <v>28</v>
      </c>
      <c r="D6" s="3" t="s">
        <v>29</v>
      </c>
      <c r="E6" s="4" t="n">
        <v>45516</v>
      </c>
      <c r="F6" s="5" t="n">
        <v>0.75</v>
      </c>
      <c r="G6" s="3" t="s">
        <v>30</v>
      </c>
      <c r="H6" s="7" t="n">
        <f aca="false">IFERROR(HOUR(F6),"N/A")</f>
        <v>18</v>
      </c>
      <c r="I6" s="7" t="str">
        <f aca="false">IFERROR(TEXT(E6,"dddd"),"N/A")</f>
        <v>Monday</v>
      </c>
    </row>
    <row r="7" customFormat="false" ht="14.25" hidden="false" customHeight="true" outlineLevel="0" collapsed="false">
      <c r="A7" s="3" t="s">
        <v>31</v>
      </c>
      <c r="B7" s="3" t="s">
        <v>32</v>
      </c>
      <c r="C7" s="3" t="s">
        <v>15</v>
      </c>
      <c r="D7" s="3" t="s">
        <v>29</v>
      </c>
      <c r="E7" s="4" t="n">
        <v>45357</v>
      </c>
      <c r="F7" s="5" t="n">
        <v>0.729166666666667</v>
      </c>
      <c r="G7" s="3" t="s">
        <v>25</v>
      </c>
      <c r="H7" s="7" t="n">
        <f aca="false">IFERROR(HOUR(F7),"N/A")</f>
        <v>17</v>
      </c>
      <c r="I7" s="7" t="str">
        <f aca="false">IFERROR(TEXT(E7,"dddd"),"N/A")</f>
        <v>Wednesday</v>
      </c>
    </row>
    <row r="8" customFormat="false" ht="14.25" hidden="false" customHeight="true" outlineLevel="0" collapsed="false">
      <c r="A8" s="3" t="s">
        <v>33</v>
      </c>
      <c r="B8" s="3" t="s">
        <v>34</v>
      </c>
      <c r="C8" s="3" t="s">
        <v>35</v>
      </c>
      <c r="D8" s="3" t="s">
        <v>24</v>
      </c>
      <c r="E8" s="4" t="n">
        <v>45383</v>
      </c>
      <c r="F8" s="5" t="n">
        <v>0.458333333333333</v>
      </c>
      <c r="G8" s="3" t="s">
        <v>17</v>
      </c>
      <c r="H8" s="7" t="n">
        <f aca="false">IFERROR(HOUR(F8),"N/A")</f>
        <v>11</v>
      </c>
      <c r="I8" s="7" t="str">
        <f aca="false">IFERROR(TEXT(E8,"dddd"),"N/A")</f>
        <v>Monday</v>
      </c>
    </row>
    <row r="9" customFormat="false" ht="14.25" hidden="false" customHeight="true" outlineLevel="0" collapsed="false">
      <c r="A9" s="3" t="s">
        <v>36</v>
      </c>
      <c r="B9" s="3" t="s">
        <v>37</v>
      </c>
      <c r="C9" s="3" t="s">
        <v>38</v>
      </c>
      <c r="D9" s="3" t="s">
        <v>24</v>
      </c>
      <c r="E9" s="4" t="n">
        <v>45581</v>
      </c>
      <c r="F9" s="5" t="n">
        <v>0.625</v>
      </c>
      <c r="G9" s="3" t="s">
        <v>17</v>
      </c>
      <c r="H9" s="7" t="n">
        <f aca="false">IFERROR(HOUR(F9),"N/A")</f>
        <v>15</v>
      </c>
      <c r="I9" s="7" t="str">
        <f aca="false">IFERROR(TEXT(E9,"dddd"),"N/A")</f>
        <v>Wednesday</v>
      </c>
    </row>
    <row r="10" customFormat="false" ht="14.25" hidden="false" customHeight="true" outlineLevel="0" collapsed="false">
      <c r="A10" s="3" t="s">
        <v>39</v>
      </c>
      <c r="B10" s="3" t="s">
        <v>40</v>
      </c>
      <c r="C10" s="3" t="s">
        <v>41</v>
      </c>
      <c r="D10" s="3" t="s">
        <v>12</v>
      </c>
      <c r="E10" s="4" t="n">
        <v>45558</v>
      </c>
      <c r="F10" s="5" t="n">
        <v>0.645833333333333</v>
      </c>
      <c r="G10" s="3" t="s">
        <v>21</v>
      </c>
      <c r="H10" s="7" t="n">
        <f aca="false">IFERROR(HOUR(F10),"N/A")</f>
        <v>15</v>
      </c>
      <c r="I10" s="7" t="str">
        <f aca="false">IFERROR(TEXT(E10,"dddd"),"N/A")</f>
        <v>Monday</v>
      </c>
    </row>
    <row r="11" customFormat="false" ht="14.25" hidden="false" customHeight="true" outlineLevel="0" collapsed="false">
      <c r="A11" s="3" t="s">
        <v>42</v>
      </c>
      <c r="B11" s="3" t="s">
        <v>43</v>
      </c>
      <c r="C11" s="3" t="s">
        <v>44</v>
      </c>
      <c r="D11" s="3" t="s">
        <v>16</v>
      </c>
      <c r="E11" s="4" t="n">
        <v>45395</v>
      </c>
      <c r="F11" s="5" t="n">
        <v>0.5625</v>
      </c>
      <c r="G11" s="3" t="s">
        <v>25</v>
      </c>
      <c r="H11" s="7" t="n">
        <f aca="false">IFERROR(HOUR(F11),"N/A")</f>
        <v>13</v>
      </c>
      <c r="I11" s="7" t="str">
        <f aca="false">IFERROR(TEXT(E11,"dddd"),"N/A")</f>
        <v>Saturday</v>
      </c>
    </row>
    <row r="12" customFormat="false" ht="14.25" hidden="false" customHeight="true" outlineLevel="0" collapsed="false">
      <c r="A12" s="3" t="s">
        <v>45</v>
      </c>
      <c r="B12" s="3" t="s">
        <v>46</v>
      </c>
      <c r="C12" s="3" t="s">
        <v>47</v>
      </c>
      <c r="D12" s="3" t="s">
        <v>16</v>
      </c>
      <c r="E12" s="4" t="n">
        <v>45460</v>
      </c>
      <c r="F12" s="5" t="n">
        <v>0.354166666666667</v>
      </c>
      <c r="G12" s="3" t="s">
        <v>17</v>
      </c>
      <c r="H12" s="7" t="n">
        <f aca="false">IFERROR(HOUR(F12),"N/A")</f>
        <v>8</v>
      </c>
      <c r="I12" s="7" t="str">
        <f aca="false">IFERROR(TEXT(E12,"dddd"),"N/A")</f>
        <v>Monday</v>
      </c>
    </row>
    <row r="13" customFormat="false" ht="14.25" hidden="false" customHeight="true" outlineLevel="0" collapsed="false">
      <c r="A13" s="3" t="s">
        <v>48</v>
      </c>
      <c r="B13" s="3" t="s">
        <v>49</v>
      </c>
      <c r="C13" s="3" t="s">
        <v>50</v>
      </c>
      <c r="D13" s="3" t="s">
        <v>16</v>
      </c>
      <c r="E13" s="4" t="n">
        <v>45519</v>
      </c>
      <c r="F13" s="5" t="n">
        <v>0.645833333333333</v>
      </c>
      <c r="G13" s="3" t="s">
        <v>17</v>
      </c>
      <c r="H13" s="7" t="n">
        <f aca="false">IFERROR(HOUR(F13),"N/A")</f>
        <v>15</v>
      </c>
      <c r="I13" s="7" t="str">
        <f aca="false">IFERROR(TEXT(E13,"dddd"),"N/A")</f>
        <v>Thursday</v>
      </c>
    </row>
    <row r="14" customFormat="false" ht="14.25" hidden="false" customHeight="true" outlineLevel="0" collapsed="false">
      <c r="A14" s="3" t="s">
        <v>9</v>
      </c>
      <c r="B14" s="3" t="s">
        <v>51</v>
      </c>
      <c r="C14" s="3" t="s">
        <v>15</v>
      </c>
      <c r="D14" s="3" t="s">
        <v>29</v>
      </c>
      <c r="E14" s="4" t="n">
        <v>45305</v>
      </c>
      <c r="F14" s="5" t="s">
        <v>9</v>
      </c>
      <c r="G14" s="3" t="s">
        <v>30</v>
      </c>
      <c r="H14" s="7" t="str">
        <f aca="false">IFERROR(HOUR(F14),"N/A")</f>
        <v>N/A</v>
      </c>
      <c r="I14" s="7" t="str">
        <f aca="false">IFERROR(TEXT(E14,"dddd"),"N/A")</f>
        <v>Sunday</v>
      </c>
    </row>
    <row r="15" customFormat="false" ht="14.25" hidden="false" customHeight="true" outlineLevel="0" collapsed="false">
      <c r="A15" s="3" t="s">
        <v>52</v>
      </c>
      <c r="B15" s="3" t="s">
        <v>53</v>
      </c>
      <c r="C15" s="3" t="s">
        <v>28</v>
      </c>
      <c r="D15" s="3" t="s">
        <v>12</v>
      </c>
      <c r="E15" s="4" t="n">
        <v>45344</v>
      </c>
      <c r="F15" s="5" t="n">
        <v>0.333333333333333</v>
      </c>
      <c r="G15" s="3" t="s">
        <v>21</v>
      </c>
      <c r="H15" s="7" t="n">
        <f aca="false">IFERROR(HOUR(F15),"N/A")</f>
        <v>8</v>
      </c>
      <c r="I15" s="7" t="str">
        <f aca="false">IFERROR(TEXT(E15,"dddd"),"N/A")</f>
        <v>Thursday</v>
      </c>
    </row>
    <row r="16" customFormat="false" ht="14.25" hidden="false" customHeight="true" outlineLevel="0" collapsed="false">
      <c r="A16" s="3" t="s">
        <v>54</v>
      </c>
      <c r="B16" s="3" t="s">
        <v>55</v>
      </c>
      <c r="C16" s="3" t="s">
        <v>56</v>
      </c>
      <c r="D16" s="3" t="s">
        <v>16</v>
      </c>
      <c r="E16" s="4" t="n">
        <v>45311</v>
      </c>
      <c r="F16" s="5" t="n">
        <v>0.75</v>
      </c>
      <c r="G16" s="3" t="s">
        <v>25</v>
      </c>
      <c r="H16" s="7" t="n">
        <f aca="false">IFERROR(HOUR(F16),"N/A")</f>
        <v>18</v>
      </c>
      <c r="I16" s="7" t="str">
        <f aca="false">IFERROR(TEXT(E16,"dddd"),"N/A")</f>
        <v>Saturday</v>
      </c>
    </row>
    <row r="17" customFormat="false" ht="14.25" hidden="false" customHeight="true" outlineLevel="0" collapsed="false">
      <c r="A17" s="3" t="s">
        <v>57</v>
      </c>
      <c r="B17" s="3" t="s">
        <v>58</v>
      </c>
      <c r="C17" s="3" t="s">
        <v>44</v>
      </c>
      <c r="D17" s="3" t="s">
        <v>24</v>
      </c>
      <c r="E17" s="4" t="n">
        <v>45589</v>
      </c>
      <c r="F17" s="5" t="n">
        <v>0.625</v>
      </c>
      <c r="G17" s="3" t="s">
        <v>21</v>
      </c>
      <c r="H17" s="7" t="n">
        <f aca="false">IFERROR(HOUR(F17),"N/A")</f>
        <v>15</v>
      </c>
      <c r="I17" s="7" t="str">
        <f aca="false">IFERROR(TEXT(E17,"dddd"),"N/A")</f>
        <v>Thursday</v>
      </c>
    </row>
    <row r="18" customFormat="false" ht="14.25" hidden="false" customHeight="true" outlineLevel="0" collapsed="false">
      <c r="A18" s="3" t="s">
        <v>59</v>
      </c>
      <c r="B18" s="3" t="s">
        <v>60</v>
      </c>
      <c r="C18" s="3" t="s">
        <v>28</v>
      </c>
      <c r="D18" s="3" t="s">
        <v>24</v>
      </c>
      <c r="E18" s="4" t="n">
        <v>45615</v>
      </c>
      <c r="F18" s="5" t="n">
        <v>0.604166666666667</v>
      </c>
      <c r="G18" s="3" t="s">
        <v>21</v>
      </c>
      <c r="H18" s="7" t="n">
        <f aca="false">IFERROR(HOUR(F18),"N/A")</f>
        <v>14</v>
      </c>
      <c r="I18" s="7" t="str">
        <f aca="false">IFERROR(TEXT(E18,"dddd"),"N/A")</f>
        <v>Tuesday</v>
      </c>
    </row>
    <row r="19" customFormat="false" ht="14.25" hidden="false" customHeight="true" outlineLevel="0" collapsed="false">
      <c r="A19" s="3" t="s">
        <v>61</v>
      </c>
      <c r="B19" s="3" t="s">
        <v>62</v>
      </c>
      <c r="C19" s="3" t="s">
        <v>47</v>
      </c>
      <c r="D19" s="3" t="s">
        <v>29</v>
      </c>
      <c r="E19" s="4" t="n">
        <v>45521</v>
      </c>
      <c r="F19" s="5" t="n">
        <v>0.666666666666667</v>
      </c>
      <c r="G19" s="3" t="s">
        <v>30</v>
      </c>
      <c r="H19" s="7" t="n">
        <f aca="false">IFERROR(HOUR(F19),"N/A")</f>
        <v>16</v>
      </c>
      <c r="I19" s="7" t="str">
        <f aca="false">IFERROR(TEXT(E19,"dddd"),"N/A")</f>
        <v>Saturday</v>
      </c>
    </row>
    <row r="20" customFormat="false" ht="14.25" hidden="false" customHeight="true" outlineLevel="0" collapsed="false">
      <c r="A20" s="3" t="s">
        <v>63</v>
      </c>
      <c r="B20" s="3" t="s">
        <v>64</v>
      </c>
      <c r="C20" s="3" t="s">
        <v>56</v>
      </c>
      <c r="D20" s="3" t="s">
        <v>24</v>
      </c>
      <c r="E20" s="4" t="n">
        <v>45476</v>
      </c>
      <c r="F20" s="5" t="n">
        <v>0.75</v>
      </c>
      <c r="G20" s="3" t="s">
        <v>25</v>
      </c>
      <c r="H20" s="7" t="n">
        <f aca="false">IFERROR(HOUR(F20),"N/A")</f>
        <v>18</v>
      </c>
      <c r="I20" s="7" t="str">
        <f aca="false">IFERROR(TEXT(E20,"dddd"),"N/A")</f>
        <v>Wednesday</v>
      </c>
    </row>
    <row r="21" customFormat="false" ht="14.25" hidden="false" customHeight="true" outlineLevel="0" collapsed="false">
      <c r="A21" s="3" t="s">
        <v>65</v>
      </c>
      <c r="B21" s="3" t="s">
        <v>66</v>
      </c>
      <c r="C21" s="3" t="s">
        <v>67</v>
      </c>
      <c r="D21" s="3" t="s">
        <v>12</v>
      </c>
      <c r="E21" s="4" t="n">
        <v>45652</v>
      </c>
      <c r="F21" s="5" t="n">
        <v>0.520833333333333</v>
      </c>
      <c r="G21" s="3" t="s">
        <v>30</v>
      </c>
      <c r="H21" s="7" t="n">
        <f aca="false">IFERROR(HOUR(F21),"N/A")</f>
        <v>12</v>
      </c>
      <c r="I21" s="7" t="str">
        <f aca="false">IFERROR(TEXT(E21,"dddd"),"N/A")</f>
        <v>Thursday</v>
      </c>
    </row>
    <row r="22" customFormat="false" ht="14.25" hidden="false" customHeight="true" outlineLevel="0" collapsed="false">
      <c r="A22" s="3" t="s">
        <v>68</v>
      </c>
      <c r="B22" s="3" t="s">
        <v>69</v>
      </c>
      <c r="C22" s="3" t="s">
        <v>70</v>
      </c>
      <c r="D22" s="3" t="s">
        <v>71</v>
      </c>
      <c r="E22" s="4" t="n">
        <v>45640</v>
      </c>
      <c r="F22" s="5" t="n">
        <v>0.541666666666667</v>
      </c>
      <c r="G22" s="3" t="s">
        <v>30</v>
      </c>
      <c r="H22" s="7" t="n">
        <f aca="false">IFERROR(HOUR(F22),"N/A")</f>
        <v>13</v>
      </c>
      <c r="I22" s="7" t="str">
        <f aca="false">IFERROR(TEXT(E22,"dddd"),"N/A")</f>
        <v>Saturday</v>
      </c>
    </row>
    <row r="23" customFormat="false" ht="14.25" hidden="false" customHeight="true" outlineLevel="0" collapsed="false">
      <c r="A23" s="3" t="s">
        <v>72</v>
      </c>
      <c r="B23" s="3" t="s">
        <v>73</v>
      </c>
      <c r="C23" s="3" t="s">
        <v>74</v>
      </c>
      <c r="D23" s="3" t="s">
        <v>29</v>
      </c>
      <c r="E23" s="4" t="n">
        <v>45635</v>
      </c>
      <c r="F23" s="5" t="n">
        <v>0.395833333333333</v>
      </c>
      <c r="G23" s="3" t="s">
        <v>25</v>
      </c>
      <c r="H23" s="7" t="n">
        <f aca="false">IFERROR(HOUR(F23),"N/A")</f>
        <v>9</v>
      </c>
      <c r="I23" s="7" t="str">
        <f aca="false">IFERROR(TEXT(E23,"dddd"),"N/A")</f>
        <v>Monday</v>
      </c>
    </row>
    <row r="24" customFormat="false" ht="14.25" hidden="false" customHeight="true" outlineLevel="0" collapsed="false">
      <c r="A24" s="3" t="s">
        <v>75</v>
      </c>
      <c r="B24" s="3" t="s">
        <v>76</v>
      </c>
      <c r="C24" s="3" t="s">
        <v>44</v>
      </c>
      <c r="D24" s="3" t="s">
        <v>77</v>
      </c>
      <c r="E24" s="4" t="n">
        <v>45644</v>
      </c>
      <c r="F24" s="5" t="n">
        <v>0.416666666666667</v>
      </c>
      <c r="G24" s="3" t="s">
        <v>17</v>
      </c>
      <c r="H24" s="7" t="n">
        <f aca="false">IFERROR(HOUR(F24),"N/A")</f>
        <v>10</v>
      </c>
      <c r="I24" s="7" t="str">
        <f aca="false">IFERROR(TEXT(E24,"dddd"),"N/A")</f>
        <v>Wednesday</v>
      </c>
    </row>
    <row r="25" customFormat="false" ht="14.25" hidden="false" customHeight="true" outlineLevel="0" collapsed="false">
      <c r="A25" s="3" t="s">
        <v>78</v>
      </c>
      <c r="B25" s="3" t="s">
        <v>79</v>
      </c>
      <c r="C25" s="3" t="s">
        <v>80</v>
      </c>
      <c r="D25" s="3" t="s">
        <v>77</v>
      </c>
      <c r="E25" s="4" t="n">
        <v>45641</v>
      </c>
      <c r="F25" s="5" t="n">
        <v>0.75</v>
      </c>
      <c r="G25" s="3" t="s">
        <v>25</v>
      </c>
      <c r="H25" s="7" t="n">
        <f aca="false">IFERROR(HOUR(F25),"N/A")</f>
        <v>18</v>
      </c>
      <c r="I25" s="7" t="str">
        <f aca="false">IFERROR(TEXT(E25,"dddd"),"N/A")</f>
        <v>Sunday</v>
      </c>
    </row>
    <row r="26" customFormat="false" ht="14.25" hidden="false" customHeight="true" outlineLevel="0" collapsed="false">
      <c r="A26" s="3" t="s">
        <v>9</v>
      </c>
      <c r="B26" s="3" t="s">
        <v>81</v>
      </c>
      <c r="C26" s="3" t="s">
        <v>82</v>
      </c>
      <c r="D26" s="3" t="s">
        <v>77</v>
      </c>
      <c r="E26" s="4" t="s">
        <v>9</v>
      </c>
      <c r="F26" s="5" t="n">
        <v>0.541666666666667</v>
      </c>
      <c r="G26" s="3" t="s">
        <v>9</v>
      </c>
      <c r="H26" s="7" t="n">
        <f aca="false">IFERROR(HOUR(F26),"N/A")</f>
        <v>13</v>
      </c>
      <c r="I26" s="7" t="str">
        <f aca="false">IFERROR(TEXT(E26,"dddd"),"N/A")</f>
        <v>N/A</v>
      </c>
    </row>
    <row r="27" customFormat="false" ht="14.25" hidden="false" customHeight="true" outlineLevel="0" collapsed="false">
      <c r="A27" s="3" t="s">
        <v>83</v>
      </c>
      <c r="B27" s="3" t="s">
        <v>84</v>
      </c>
      <c r="C27" s="3" t="s">
        <v>74</v>
      </c>
      <c r="D27" s="3" t="s">
        <v>29</v>
      </c>
      <c r="E27" s="4" t="n">
        <v>45558</v>
      </c>
      <c r="F27" s="5" t="n">
        <v>0.75</v>
      </c>
      <c r="G27" s="3" t="s">
        <v>21</v>
      </c>
      <c r="H27" s="7" t="n">
        <f aca="false">IFERROR(HOUR(F27),"N/A")</f>
        <v>18</v>
      </c>
      <c r="I27" s="7" t="str">
        <f aca="false">IFERROR(TEXT(E27,"dddd"),"N/A")</f>
        <v>Monday</v>
      </c>
    </row>
    <row r="28" customFormat="false" ht="14.25" hidden="false" customHeight="true" outlineLevel="0" collapsed="false">
      <c r="A28" s="3" t="s">
        <v>85</v>
      </c>
      <c r="B28" s="3" t="s">
        <v>86</v>
      </c>
      <c r="C28" s="3" t="s">
        <v>87</v>
      </c>
      <c r="D28" s="3" t="s">
        <v>16</v>
      </c>
      <c r="E28" s="4" t="n">
        <v>45486</v>
      </c>
      <c r="F28" s="5" t="n">
        <v>0.770833333333333</v>
      </c>
      <c r="G28" s="3" t="s">
        <v>30</v>
      </c>
      <c r="H28" s="7" t="n">
        <f aca="false">IFERROR(HOUR(F28),"N/A")</f>
        <v>18</v>
      </c>
      <c r="I28" s="7" t="str">
        <f aca="false">IFERROR(TEXT(E28,"dddd"),"N/A")</f>
        <v>Saturday</v>
      </c>
    </row>
    <row r="29" customFormat="false" ht="14.25" hidden="false" customHeight="true" outlineLevel="0" collapsed="false">
      <c r="A29" s="3" t="s">
        <v>88</v>
      </c>
      <c r="B29" s="3" t="s">
        <v>89</v>
      </c>
      <c r="C29" s="3" t="s">
        <v>90</v>
      </c>
      <c r="D29" s="3" t="s">
        <v>29</v>
      </c>
      <c r="E29" s="4" t="n">
        <v>45322</v>
      </c>
      <c r="F29" s="5" t="n">
        <v>0.75</v>
      </c>
      <c r="G29" s="3" t="s">
        <v>17</v>
      </c>
      <c r="H29" s="7" t="n">
        <f aca="false">IFERROR(HOUR(F29),"N/A")</f>
        <v>18</v>
      </c>
      <c r="I29" s="7" t="str">
        <f aca="false">IFERROR(TEXT(E29,"dddd"),"N/A")</f>
        <v>Wednesday</v>
      </c>
    </row>
    <row r="30" customFormat="false" ht="14.25" hidden="false" customHeight="true" outlineLevel="0" collapsed="false">
      <c r="A30" s="3" t="s">
        <v>91</v>
      </c>
      <c r="B30" s="3" t="s">
        <v>92</v>
      </c>
      <c r="C30" s="3" t="s">
        <v>47</v>
      </c>
      <c r="D30" s="3" t="s">
        <v>29</v>
      </c>
      <c r="E30" s="4" t="n">
        <v>45520</v>
      </c>
      <c r="F30" s="5" t="n">
        <v>0.666666666666667</v>
      </c>
      <c r="G30" s="3" t="s">
        <v>30</v>
      </c>
      <c r="H30" s="7" t="n">
        <f aca="false">IFERROR(HOUR(F30),"N/A")</f>
        <v>16</v>
      </c>
      <c r="I30" s="7" t="str">
        <f aca="false">IFERROR(TEXT(E30,"dddd"),"N/A")</f>
        <v>Friday</v>
      </c>
    </row>
    <row r="31" customFormat="false" ht="14.25" hidden="false" customHeight="true" outlineLevel="0" collapsed="false">
      <c r="A31" s="3" t="s">
        <v>93</v>
      </c>
      <c r="B31" s="3" t="s">
        <v>94</v>
      </c>
      <c r="C31" s="3" t="s">
        <v>95</v>
      </c>
      <c r="D31" s="3" t="s">
        <v>24</v>
      </c>
      <c r="E31" s="4" t="n">
        <v>45622</v>
      </c>
      <c r="F31" s="5" t="n">
        <v>0.416666666666667</v>
      </c>
      <c r="G31" s="3" t="s">
        <v>17</v>
      </c>
      <c r="H31" s="7" t="n">
        <f aca="false">IFERROR(HOUR(F31),"N/A")</f>
        <v>10</v>
      </c>
      <c r="I31" s="7" t="str">
        <f aca="false">IFERROR(TEXT(E31,"dddd"),"N/A")</f>
        <v>Tuesday</v>
      </c>
    </row>
    <row r="32" customFormat="false" ht="14.25" hidden="false" customHeight="true" outlineLevel="0" collapsed="false">
      <c r="A32" s="3" t="s">
        <v>96</v>
      </c>
      <c r="B32" s="3" t="s">
        <v>97</v>
      </c>
      <c r="C32" s="3" t="s">
        <v>87</v>
      </c>
      <c r="D32" s="3" t="s">
        <v>77</v>
      </c>
      <c r="E32" s="4" t="n">
        <v>45642</v>
      </c>
      <c r="F32" s="5" t="n">
        <v>0.354166666666667</v>
      </c>
      <c r="G32" s="3" t="s">
        <v>25</v>
      </c>
      <c r="H32" s="7" t="n">
        <f aca="false">IFERROR(HOUR(F32),"N/A")</f>
        <v>8</v>
      </c>
      <c r="I32" s="7" t="str">
        <f aca="false">IFERROR(TEXT(E32,"dddd"),"N/A")</f>
        <v>Monday</v>
      </c>
    </row>
    <row r="33" customFormat="false" ht="14.25" hidden="false" customHeight="true" outlineLevel="0" collapsed="false">
      <c r="A33" s="3" t="s">
        <v>98</v>
      </c>
      <c r="B33" s="3" t="s">
        <v>99</v>
      </c>
      <c r="C33" s="3" t="s">
        <v>100</v>
      </c>
      <c r="D33" s="3" t="s">
        <v>16</v>
      </c>
      <c r="E33" s="4" t="n">
        <v>45384</v>
      </c>
      <c r="F33" s="5" t="n">
        <v>0.729166666666667</v>
      </c>
      <c r="G33" s="3" t="s">
        <v>17</v>
      </c>
      <c r="H33" s="7" t="n">
        <f aca="false">IFERROR(HOUR(F33),"N/A")</f>
        <v>17</v>
      </c>
      <c r="I33" s="7" t="str">
        <f aca="false">IFERROR(TEXT(E33,"dddd"),"N/A")</f>
        <v>Tuesday</v>
      </c>
    </row>
    <row r="34" customFormat="false" ht="14.25" hidden="false" customHeight="true" outlineLevel="0" collapsed="false">
      <c r="A34" s="3" t="s">
        <v>101</v>
      </c>
      <c r="B34" s="3" t="s">
        <v>102</v>
      </c>
      <c r="C34" s="3" t="s">
        <v>100</v>
      </c>
      <c r="D34" s="3" t="s">
        <v>71</v>
      </c>
      <c r="E34" s="4" t="n">
        <v>45446</v>
      </c>
      <c r="F34" s="5" t="n">
        <v>0.645833333333333</v>
      </c>
      <c r="G34" s="3" t="s">
        <v>25</v>
      </c>
      <c r="H34" s="7" t="n">
        <f aca="false">IFERROR(HOUR(F34),"N/A")</f>
        <v>15</v>
      </c>
      <c r="I34" s="7" t="str">
        <f aca="false">IFERROR(TEXT(E34,"dddd"),"N/A")</f>
        <v>Monday</v>
      </c>
    </row>
    <row r="35" customFormat="false" ht="14.25" hidden="false" customHeight="true" outlineLevel="0" collapsed="false">
      <c r="A35" s="3" t="s">
        <v>103</v>
      </c>
      <c r="B35" s="3" t="s">
        <v>104</v>
      </c>
      <c r="C35" s="3" t="s">
        <v>105</v>
      </c>
      <c r="D35" s="3" t="s">
        <v>24</v>
      </c>
      <c r="E35" s="4" t="n">
        <v>45383</v>
      </c>
      <c r="F35" s="5" t="n">
        <v>0.416666666666667</v>
      </c>
      <c r="G35" s="3" t="s">
        <v>30</v>
      </c>
      <c r="H35" s="7" t="n">
        <f aca="false">IFERROR(HOUR(F35),"N/A")</f>
        <v>10</v>
      </c>
      <c r="I35" s="7" t="str">
        <f aca="false">IFERROR(TEXT(E35,"dddd"),"N/A")</f>
        <v>Monday</v>
      </c>
    </row>
    <row r="36" customFormat="false" ht="14.25" hidden="false" customHeight="true" outlineLevel="0" collapsed="false">
      <c r="A36" s="3" t="s">
        <v>106</v>
      </c>
      <c r="B36" s="3" t="s">
        <v>107</v>
      </c>
      <c r="C36" s="3" t="s">
        <v>11</v>
      </c>
      <c r="D36" s="3" t="s">
        <v>71</v>
      </c>
      <c r="E36" s="4" t="n">
        <v>45646</v>
      </c>
      <c r="F36" s="5" t="n">
        <v>0.5625</v>
      </c>
      <c r="G36" s="3" t="s">
        <v>17</v>
      </c>
      <c r="H36" s="7" t="n">
        <f aca="false">IFERROR(HOUR(F36),"N/A")</f>
        <v>13</v>
      </c>
      <c r="I36" s="7" t="str">
        <f aca="false">IFERROR(TEXT(E36,"dddd"),"N/A")</f>
        <v>Friday</v>
      </c>
    </row>
    <row r="37" customFormat="false" ht="14.25" hidden="false" customHeight="true" outlineLevel="0" collapsed="false">
      <c r="A37" s="3" t="s">
        <v>108</v>
      </c>
      <c r="B37" s="3" t="s">
        <v>109</v>
      </c>
      <c r="C37" s="3" t="s">
        <v>20</v>
      </c>
      <c r="D37" s="3" t="s">
        <v>16</v>
      </c>
      <c r="E37" s="4" t="n">
        <v>45647</v>
      </c>
      <c r="F37" s="5" t="n">
        <v>0.6875</v>
      </c>
      <c r="G37" s="3" t="s">
        <v>17</v>
      </c>
      <c r="H37" s="7" t="n">
        <f aca="false">IFERROR(HOUR(F37),"N/A")</f>
        <v>16</v>
      </c>
      <c r="I37" s="7" t="str">
        <f aca="false">IFERROR(TEXT(E37,"dddd"),"N/A")</f>
        <v>Saturday</v>
      </c>
    </row>
    <row r="38" customFormat="false" ht="14.25" hidden="false" customHeight="true" outlineLevel="0" collapsed="false">
      <c r="A38" s="3" t="s">
        <v>110</v>
      </c>
      <c r="B38" s="3" t="s">
        <v>111</v>
      </c>
      <c r="C38" s="3" t="s">
        <v>74</v>
      </c>
      <c r="D38" s="3" t="s">
        <v>77</v>
      </c>
      <c r="E38" s="4" t="n">
        <v>45416</v>
      </c>
      <c r="F38" s="5" t="n">
        <v>0.6875</v>
      </c>
      <c r="G38" s="3" t="s">
        <v>21</v>
      </c>
      <c r="H38" s="7" t="n">
        <f aca="false">IFERROR(HOUR(F38),"N/A")</f>
        <v>16</v>
      </c>
      <c r="I38" s="7" t="str">
        <f aca="false">IFERROR(TEXT(E38,"dddd"),"N/A")</f>
        <v>Saturday</v>
      </c>
    </row>
    <row r="39" customFormat="false" ht="14.25" hidden="false" customHeight="true" outlineLevel="0" collapsed="false">
      <c r="A39" s="3" t="s">
        <v>112</v>
      </c>
      <c r="B39" s="3" t="s">
        <v>113</v>
      </c>
      <c r="C39" s="3" t="s">
        <v>44</v>
      </c>
      <c r="D39" s="3" t="s">
        <v>77</v>
      </c>
      <c r="E39" s="4" t="n">
        <v>45387</v>
      </c>
      <c r="F39" s="5" t="n">
        <v>0.354166666666667</v>
      </c>
      <c r="G39" s="3" t="s">
        <v>21</v>
      </c>
      <c r="H39" s="7" t="n">
        <f aca="false">IFERROR(HOUR(F39),"N/A")</f>
        <v>8</v>
      </c>
      <c r="I39" s="7" t="str">
        <f aca="false">IFERROR(TEXT(E39,"dddd"),"N/A")</f>
        <v>Friday</v>
      </c>
    </row>
    <row r="40" customFormat="false" ht="14.25" hidden="false" customHeight="true" outlineLevel="0" collapsed="false">
      <c r="A40" s="3" t="s">
        <v>114</v>
      </c>
      <c r="B40" s="3" t="s">
        <v>115</v>
      </c>
      <c r="C40" s="3" t="s">
        <v>95</v>
      </c>
      <c r="D40" s="3" t="s">
        <v>29</v>
      </c>
      <c r="E40" s="4" t="n">
        <v>45605</v>
      </c>
      <c r="F40" s="5" t="n">
        <v>0.5625</v>
      </c>
      <c r="G40" s="3" t="s">
        <v>25</v>
      </c>
      <c r="H40" s="7" t="n">
        <f aca="false">IFERROR(HOUR(F40),"N/A")</f>
        <v>13</v>
      </c>
      <c r="I40" s="7" t="str">
        <f aca="false">IFERROR(TEXT(E40,"dddd"),"N/A")</f>
        <v>Saturday</v>
      </c>
    </row>
    <row r="41" customFormat="false" ht="14.25" hidden="false" customHeight="true" outlineLevel="0" collapsed="false">
      <c r="A41" s="3" t="s">
        <v>9</v>
      </c>
      <c r="B41" s="3" t="s">
        <v>116</v>
      </c>
      <c r="C41" s="3" t="s">
        <v>9</v>
      </c>
      <c r="D41" s="3" t="s">
        <v>77</v>
      </c>
      <c r="E41" s="4" t="n">
        <v>45372</v>
      </c>
      <c r="F41" s="5" t="n">
        <v>0.541666666666667</v>
      </c>
      <c r="G41" s="3" t="s">
        <v>9</v>
      </c>
      <c r="H41" s="7" t="n">
        <f aca="false">IFERROR(HOUR(F41),"N/A")</f>
        <v>13</v>
      </c>
      <c r="I41" s="7" t="str">
        <f aca="false">IFERROR(TEXT(E41,"dddd"),"N/A")</f>
        <v>Thursday</v>
      </c>
    </row>
    <row r="42" customFormat="false" ht="14.25" hidden="false" customHeight="true" outlineLevel="0" collapsed="false">
      <c r="A42" s="3" t="s">
        <v>117</v>
      </c>
      <c r="B42" s="3" t="s">
        <v>118</v>
      </c>
      <c r="C42" s="3" t="s">
        <v>28</v>
      </c>
      <c r="D42" s="3" t="s">
        <v>29</v>
      </c>
      <c r="E42" s="4" t="n">
        <v>45378</v>
      </c>
      <c r="F42" s="5" t="n">
        <v>0.708333333333333</v>
      </c>
      <c r="G42" s="3" t="s">
        <v>21</v>
      </c>
      <c r="H42" s="7" t="n">
        <f aca="false">IFERROR(HOUR(F42),"N/A")</f>
        <v>17</v>
      </c>
      <c r="I42" s="7" t="str">
        <f aca="false">IFERROR(TEXT(E42,"dddd"),"N/A")</f>
        <v>Wednesday</v>
      </c>
    </row>
    <row r="43" customFormat="false" ht="14.25" hidden="false" customHeight="true" outlineLevel="0" collapsed="false">
      <c r="A43" s="3" t="s">
        <v>119</v>
      </c>
      <c r="B43" s="3" t="s">
        <v>120</v>
      </c>
      <c r="C43" s="3" t="s">
        <v>121</v>
      </c>
      <c r="D43" s="3" t="s">
        <v>24</v>
      </c>
      <c r="E43" s="4" t="n">
        <v>45506</v>
      </c>
      <c r="F43" s="5" t="n">
        <v>0.520833333333333</v>
      </c>
      <c r="G43" s="3" t="s">
        <v>25</v>
      </c>
      <c r="H43" s="7" t="n">
        <f aca="false">IFERROR(HOUR(F43),"N/A")</f>
        <v>12</v>
      </c>
      <c r="I43" s="7" t="str">
        <f aca="false">IFERROR(TEXT(E43,"dddd"),"N/A")</f>
        <v>Friday</v>
      </c>
    </row>
    <row r="44" customFormat="false" ht="14.25" hidden="false" customHeight="true" outlineLevel="0" collapsed="false">
      <c r="A44" s="3" t="s">
        <v>122</v>
      </c>
      <c r="B44" s="3" t="s">
        <v>123</v>
      </c>
      <c r="C44" s="3" t="s">
        <v>124</v>
      </c>
      <c r="D44" s="3" t="s">
        <v>24</v>
      </c>
      <c r="E44" s="4" t="n">
        <v>45507</v>
      </c>
      <c r="F44" s="5" t="n">
        <v>0.770833333333333</v>
      </c>
      <c r="G44" s="3" t="s">
        <v>30</v>
      </c>
      <c r="H44" s="7" t="n">
        <f aca="false">IFERROR(HOUR(F44),"N/A")</f>
        <v>18</v>
      </c>
      <c r="I44" s="7" t="str">
        <f aca="false">IFERROR(TEXT(E44,"dddd"),"N/A")</f>
        <v>Saturday</v>
      </c>
    </row>
    <row r="45" customFormat="false" ht="14.25" hidden="false" customHeight="true" outlineLevel="0" collapsed="false">
      <c r="A45" s="3" t="s">
        <v>125</v>
      </c>
      <c r="B45" s="3" t="s">
        <v>126</v>
      </c>
      <c r="C45" s="3" t="s">
        <v>127</v>
      </c>
      <c r="D45" s="3" t="s">
        <v>12</v>
      </c>
      <c r="E45" s="4" t="n">
        <v>45585</v>
      </c>
      <c r="F45" s="5" t="n">
        <v>0.395833333333333</v>
      </c>
      <c r="G45" s="3" t="s">
        <v>30</v>
      </c>
      <c r="H45" s="7" t="n">
        <f aca="false">IFERROR(HOUR(F45),"N/A")</f>
        <v>9</v>
      </c>
      <c r="I45" s="7" t="str">
        <f aca="false">IFERROR(TEXT(E45,"dddd"),"N/A")</f>
        <v>Sunday</v>
      </c>
    </row>
    <row r="46" customFormat="false" ht="14.25" hidden="false" customHeight="true" outlineLevel="0" collapsed="false">
      <c r="A46" s="3" t="s">
        <v>128</v>
      </c>
      <c r="B46" s="3" t="s">
        <v>129</v>
      </c>
      <c r="C46" s="3" t="s">
        <v>130</v>
      </c>
      <c r="D46" s="3" t="s">
        <v>16</v>
      </c>
      <c r="E46" s="4" t="n">
        <v>45313</v>
      </c>
      <c r="F46" s="5" t="n">
        <v>0.666666666666667</v>
      </c>
      <c r="G46" s="3" t="s">
        <v>17</v>
      </c>
      <c r="H46" s="7" t="n">
        <f aca="false">IFERROR(HOUR(F46),"N/A")</f>
        <v>16</v>
      </c>
      <c r="I46" s="7" t="str">
        <f aca="false">IFERROR(TEXT(E46,"dddd"),"N/A")</f>
        <v>Monday</v>
      </c>
    </row>
    <row r="47" customFormat="false" ht="14.25" hidden="false" customHeight="true" outlineLevel="0" collapsed="false">
      <c r="A47" s="3" t="s">
        <v>131</v>
      </c>
      <c r="B47" s="3" t="s">
        <v>132</v>
      </c>
      <c r="C47" s="3" t="s">
        <v>35</v>
      </c>
      <c r="D47" s="3" t="s">
        <v>16</v>
      </c>
      <c r="E47" s="4" t="n">
        <v>45347</v>
      </c>
      <c r="F47" s="5" t="n">
        <v>0.395833333333333</v>
      </c>
      <c r="G47" s="3" t="s">
        <v>30</v>
      </c>
      <c r="H47" s="7" t="n">
        <f aca="false">IFERROR(HOUR(F47),"N/A")</f>
        <v>9</v>
      </c>
      <c r="I47" s="7" t="str">
        <f aca="false">IFERROR(TEXT(E47,"dddd"),"N/A")</f>
        <v>Sunday</v>
      </c>
    </row>
    <row r="48" customFormat="false" ht="14.25" hidden="false" customHeight="true" outlineLevel="0" collapsed="false">
      <c r="A48" s="3" t="s">
        <v>133</v>
      </c>
      <c r="B48" s="3" t="s">
        <v>134</v>
      </c>
      <c r="C48" s="3" t="s">
        <v>80</v>
      </c>
      <c r="D48" s="3" t="s">
        <v>24</v>
      </c>
      <c r="E48" s="4" t="n">
        <v>45466</v>
      </c>
      <c r="F48" s="5" t="n">
        <v>0.416666666666667</v>
      </c>
      <c r="G48" s="3" t="s">
        <v>30</v>
      </c>
      <c r="H48" s="7" t="n">
        <f aca="false">IFERROR(HOUR(F48),"N/A")</f>
        <v>10</v>
      </c>
      <c r="I48" s="7" t="str">
        <f aca="false">IFERROR(TEXT(E48,"dddd"),"N/A")</f>
        <v>Sunday</v>
      </c>
    </row>
    <row r="49" customFormat="false" ht="14.25" hidden="false" customHeight="true" outlineLevel="0" collapsed="false">
      <c r="A49" s="3" t="s">
        <v>135</v>
      </c>
      <c r="B49" s="3" t="s">
        <v>136</v>
      </c>
      <c r="C49" s="3" t="s">
        <v>137</v>
      </c>
      <c r="D49" s="3" t="s">
        <v>77</v>
      </c>
      <c r="E49" s="4" t="n">
        <v>45350</v>
      </c>
      <c r="F49" s="5" t="n">
        <v>0.770833333333333</v>
      </c>
      <c r="G49" s="3" t="s">
        <v>30</v>
      </c>
      <c r="H49" s="7" t="n">
        <f aca="false">IFERROR(HOUR(F49),"N/A")</f>
        <v>18</v>
      </c>
      <c r="I49" s="7" t="str">
        <f aca="false">IFERROR(TEXT(E49,"dddd"),"N/A")</f>
        <v>Wednesday</v>
      </c>
    </row>
    <row r="50" customFormat="false" ht="14.25" hidden="false" customHeight="true" outlineLevel="0" collapsed="false">
      <c r="A50" s="3" t="s">
        <v>138</v>
      </c>
      <c r="B50" s="3" t="s">
        <v>139</v>
      </c>
      <c r="C50" s="3" t="s">
        <v>44</v>
      </c>
      <c r="D50" s="3" t="s">
        <v>24</v>
      </c>
      <c r="E50" s="4" t="n">
        <v>45590</v>
      </c>
      <c r="F50" s="5" t="n">
        <v>0.75</v>
      </c>
      <c r="G50" s="3" t="s">
        <v>17</v>
      </c>
      <c r="H50" s="7" t="n">
        <f aca="false">IFERROR(HOUR(F50),"N/A")</f>
        <v>18</v>
      </c>
      <c r="I50" s="7" t="str">
        <f aca="false">IFERROR(TEXT(E50,"dddd"),"N/A")</f>
        <v>Friday</v>
      </c>
    </row>
    <row r="51" customFormat="false" ht="14.25" hidden="false" customHeight="true" outlineLevel="0" collapsed="false">
      <c r="A51" s="3" t="s">
        <v>140</v>
      </c>
      <c r="B51" s="3" t="s">
        <v>141</v>
      </c>
      <c r="C51" s="3" t="s">
        <v>127</v>
      </c>
      <c r="D51" s="3" t="s">
        <v>29</v>
      </c>
      <c r="E51" s="4" t="n">
        <v>45324</v>
      </c>
      <c r="F51" s="5" t="n">
        <v>0.395833333333333</v>
      </c>
      <c r="G51" s="3" t="s">
        <v>17</v>
      </c>
      <c r="H51" s="7" t="n">
        <f aca="false">IFERROR(HOUR(F51),"N/A")</f>
        <v>9</v>
      </c>
      <c r="I51" s="7" t="str">
        <f aca="false">IFERROR(TEXT(E51,"dddd"),"N/A")</f>
        <v>Friday</v>
      </c>
    </row>
    <row r="52" customFormat="false" ht="14.25" hidden="false" customHeight="true" outlineLevel="0" collapsed="false">
      <c r="A52" s="3" t="s">
        <v>142</v>
      </c>
      <c r="B52" s="3" t="s">
        <v>143</v>
      </c>
      <c r="C52" s="3" t="s">
        <v>121</v>
      </c>
      <c r="D52" s="3" t="s">
        <v>16</v>
      </c>
      <c r="E52" s="4" t="n">
        <v>45630</v>
      </c>
      <c r="F52" s="5" t="n">
        <v>0.458333333333333</v>
      </c>
      <c r="G52" s="3" t="s">
        <v>25</v>
      </c>
      <c r="H52" s="7" t="n">
        <f aca="false">IFERROR(HOUR(F52),"N/A")</f>
        <v>11</v>
      </c>
      <c r="I52" s="7" t="str">
        <f aca="false">IFERROR(TEXT(E52,"dddd"),"N/A")</f>
        <v>Wednesday</v>
      </c>
    </row>
    <row r="53" customFormat="false" ht="14.25" hidden="false" customHeight="true" outlineLevel="0" collapsed="false">
      <c r="A53" s="3" t="s">
        <v>144</v>
      </c>
      <c r="B53" s="3" t="s">
        <v>145</v>
      </c>
      <c r="C53" s="3" t="s">
        <v>87</v>
      </c>
      <c r="D53" s="3" t="s">
        <v>12</v>
      </c>
      <c r="E53" s="4" t="n">
        <v>45482</v>
      </c>
      <c r="F53" s="5" t="n">
        <v>0.5</v>
      </c>
      <c r="G53" s="3" t="s">
        <v>25</v>
      </c>
      <c r="H53" s="7" t="n">
        <f aca="false">IFERROR(HOUR(F53),"N/A")</f>
        <v>12</v>
      </c>
      <c r="I53" s="7" t="str">
        <f aca="false">IFERROR(TEXT(E53,"dddd"),"N/A")</f>
        <v>Tuesday</v>
      </c>
    </row>
    <row r="54" customFormat="false" ht="14.25" hidden="false" customHeight="true" outlineLevel="0" collapsed="false">
      <c r="A54" s="3" t="s">
        <v>146</v>
      </c>
      <c r="B54" s="3" t="s">
        <v>147</v>
      </c>
      <c r="C54" s="3" t="s">
        <v>11</v>
      </c>
      <c r="D54" s="3" t="s">
        <v>12</v>
      </c>
      <c r="E54" s="4" t="n">
        <v>45370</v>
      </c>
      <c r="F54" s="5" t="n">
        <v>0.75</v>
      </c>
      <c r="G54" s="3" t="s">
        <v>21</v>
      </c>
      <c r="H54" s="7" t="n">
        <f aca="false">IFERROR(HOUR(F54),"N/A")</f>
        <v>18</v>
      </c>
      <c r="I54" s="7" t="str">
        <f aca="false">IFERROR(TEXT(E54,"dddd"),"N/A")</f>
        <v>Tuesday</v>
      </c>
    </row>
    <row r="55" customFormat="false" ht="14.25" hidden="false" customHeight="true" outlineLevel="0" collapsed="false">
      <c r="A55" s="3" t="s">
        <v>148</v>
      </c>
      <c r="B55" s="3" t="s">
        <v>149</v>
      </c>
      <c r="C55" s="3" t="s">
        <v>137</v>
      </c>
      <c r="D55" s="3" t="s">
        <v>12</v>
      </c>
      <c r="E55" s="4" t="n">
        <v>45362</v>
      </c>
      <c r="F55" s="5" t="n">
        <v>0.645833333333333</v>
      </c>
      <c r="G55" s="3" t="s">
        <v>30</v>
      </c>
      <c r="H55" s="7" t="n">
        <f aca="false">IFERROR(HOUR(F55),"N/A")</f>
        <v>15</v>
      </c>
      <c r="I55" s="7" t="str">
        <f aca="false">IFERROR(TEXT(E55,"dddd"),"N/A")</f>
        <v>Monday</v>
      </c>
    </row>
    <row r="56" customFormat="false" ht="14.25" hidden="false" customHeight="true" outlineLevel="0" collapsed="false">
      <c r="A56" s="3" t="s">
        <v>150</v>
      </c>
      <c r="B56" s="3" t="s">
        <v>151</v>
      </c>
      <c r="C56" s="3" t="s">
        <v>67</v>
      </c>
      <c r="D56" s="3" t="s">
        <v>71</v>
      </c>
      <c r="E56" s="4" t="n">
        <v>45556</v>
      </c>
      <c r="F56" s="5" t="n">
        <v>0.6875</v>
      </c>
      <c r="G56" s="3" t="s">
        <v>17</v>
      </c>
      <c r="H56" s="7" t="n">
        <f aca="false">IFERROR(HOUR(F56),"N/A")</f>
        <v>16</v>
      </c>
      <c r="I56" s="7" t="str">
        <f aca="false">IFERROR(TEXT(E56,"dddd"),"N/A")</f>
        <v>Saturday</v>
      </c>
    </row>
    <row r="57" customFormat="false" ht="14.25" hidden="false" customHeight="true" outlineLevel="0" collapsed="false">
      <c r="A57" s="3" t="s">
        <v>152</v>
      </c>
      <c r="B57" s="3" t="s">
        <v>153</v>
      </c>
      <c r="C57" s="3" t="s">
        <v>154</v>
      </c>
      <c r="D57" s="3" t="s">
        <v>24</v>
      </c>
      <c r="E57" s="4" t="n">
        <v>45551</v>
      </c>
      <c r="F57" s="5" t="n">
        <v>0.645833333333333</v>
      </c>
      <c r="G57" s="3" t="s">
        <v>30</v>
      </c>
      <c r="H57" s="7" t="n">
        <f aca="false">IFERROR(HOUR(F57),"N/A")</f>
        <v>15</v>
      </c>
      <c r="I57" s="7" t="str">
        <f aca="false">IFERROR(TEXT(E57,"dddd"),"N/A")</f>
        <v>Monday</v>
      </c>
    </row>
    <row r="58" customFormat="false" ht="14.25" hidden="false" customHeight="true" outlineLevel="0" collapsed="false">
      <c r="A58" s="3" t="s">
        <v>9</v>
      </c>
      <c r="B58" s="3" t="s">
        <v>155</v>
      </c>
      <c r="C58" s="3" t="s">
        <v>130</v>
      </c>
      <c r="D58" s="3" t="s">
        <v>24</v>
      </c>
      <c r="E58" s="4" t="s">
        <v>9</v>
      </c>
      <c r="F58" s="5" t="s">
        <v>9</v>
      </c>
      <c r="G58" s="3" t="s">
        <v>9</v>
      </c>
      <c r="H58" s="7" t="str">
        <f aca="false">IFERROR(HOUR(F58),"N/A")</f>
        <v>N/A</v>
      </c>
      <c r="I58" s="7" t="str">
        <f aca="false">IFERROR(TEXT(E58,"dddd"),"N/A")</f>
        <v>N/A</v>
      </c>
    </row>
    <row r="59" customFormat="false" ht="14.25" hidden="false" customHeight="true" outlineLevel="0" collapsed="false">
      <c r="A59" s="3" t="s">
        <v>156</v>
      </c>
      <c r="B59" s="3" t="s">
        <v>157</v>
      </c>
      <c r="C59" s="3" t="s">
        <v>95</v>
      </c>
      <c r="D59" s="3" t="s">
        <v>77</v>
      </c>
      <c r="E59" s="4" t="n">
        <v>45585</v>
      </c>
      <c r="F59" s="5" t="n">
        <v>0.75</v>
      </c>
      <c r="G59" s="3" t="s">
        <v>30</v>
      </c>
      <c r="H59" s="7" t="n">
        <f aca="false">IFERROR(HOUR(F59),"N/A")</f>
        <v>18</v>
      </c>
      <c r="I59" s="7" t="str">
        <f aca="false">IFERROR(TEXT(E59,"dddd"),"N/A")</f>
        <v>Sunday</v>
      </c>
    </row>
    <row r="60" customFormat="false" ht="14.25" hidden="false" customHeight="true" outlineLevel="0" collapsed="false">
      <c r="A60" s="3" t="s">
        <v>158</v>
      </c>
      <c r="B60" s="3" t="s">
        <v>159</v>
      </c>
      <c r="C60" s="3" t="s">
        <v>56</v>
      </c>
      <c r="D60" s="3" t="s">
        <v>71</v>
      </c>
      <c r="E60" s="4" t="n">
        <v>45517</v>
      </c>
      <c r="F60" s="5" t="n">
        <v>0.75</v>
      </c>
      <c r="G60" s="3" t="s">
        <v>17</v>
      </c>
      <c r="H60" s="7" t="n">
        <f aca="false">IFERROR(HOUR(F60),"N/A")</f>
        <v>18</v>
      </c>
      <c r="I60" s="7" t="str">
        <f aca="false">IFERROR(TEXT(E60,"dddd"),"N/A")</f>
        <v>Tuesday</v>
      </c>
    </row>
    <row r="61" customFormat="false" ht="14.25" hidden="false" customHeight="true" outlineLevel="0" collapsed="false">
      <c r="A61" s="3" t="s">
        <v>160</v>
      </c>
      <c r="B61" s="3" t="s">
        <v>161</v>
      </c>
      <c r="C61" s="3" t="s">
        <v>56</v>
      </c>
      <c r="D61" s="3" t="s">
        <v>24</v>
      </c>
      <c r="E61" s="4" t="n">
        <v>45623</v>
      </c>
      <c r="F61" s="5" t="n">
        <v>0.375</v>
      </c>
      <c r="G61" s="3" t="s">
        <v>21</v>
      </c>
      <c r="H61" s="7" t="n">
        <f aca="false">IFERROR(HOUR(F61),"N/A")</f>
        <v>9</v>
      </c>
      <c r="I61" s="7" t="str">
        <f aca="false">IFERROR(TEXT(E61,"dddd"),"N/A")</f>
        <v>Wednesday</v>
      </c>
    </row>
    <row r="62" customFormat="false" ht="14.25" hidden="false" customHeight="true" outlineLevel="0" collapsed="false">
      <c r="A62" s="3" t="s">
        <v>162</v>
      </c>
      <c r="B62" s="3" t="s">
        <v>163</v>
      </c>
      <c r="C62" s="3" t="s">
        <v>15</v>
      </c>
      <c r="D62" s="3" t="s">
        <v>24</v>
      </c>
      <c r="E62" s="4" t="n">
        <v>45298</v>
      </c>
      <c r="F62" s="5" t="n">
        <v>0.666666666666667</v>
      </c>
      <c r="G62" s="3" t="s">
        <v>17</v>
      </c>
      <c r="H62" s="7" t="n">
        <f aca="false">IFERROR(HOUR(F62),"N/A")</f>
        <v>16</v>
      </c>
      <c r="I62" s="7" t="str">
        <f aca="false">IFERROR(TEXT(E62,"dddd"),"N/A")</f>
        <v>Sunday</v>
      </c>
    </row>
    <row r="63" customFormat="false" ht="14.25" hidden="false" customHeight="true" outlineLevel="0" collapsed="false">
      <c r="A63" s="3" t="s">
        <v>164</v>
      </c>
      <c r="B63" s="3" t="s">
        <v>165</v>
      </c>
      <c r="C63" s="3" t="s">
        <v>154</v>
      </c>
      <c r="D63" s="3" t="s">
        <v>71</v>
      </c>
      <c r="E63" s="4" t="n">
        <v>45350</v>
      </c>
      <c r="F63" s="5" t="n">
        <v>0.479166666666667</v>
      </c>
      <c r="G63" s="3" t="s">
        <v>17</v>
      </c>
      <c r="H63" s="7" t="n">
        <f aca="false">IFERROR(HOUR(F63),"N/A")</f>
        <v>11</v>
      </c>
      <c r="I63" s="7" t="str">
        <f aca="false">IFERROR(TEXT(E63,"dddd"),"N/A")</f>
        <v>Wednesday</v>
      </c>
    </row>
    <row r="64" customFormat="false" ht="14.25" hidden="false" customHeight="true" outlineLevel="0" collapsed="false">
      <c r="A64" s="3" t="s">
        <v>166</v>
      </c>
      <c r="B64" s="3" t="s">
        <v>167</v>
      </c>
      <c r="C64" s="3" t="s">
        <v>82</v>
      </c>
      <c r="D64" s="3" t="s">
        <v>12</v>
      </c>
      <c r="E64" s="4" t="n">
        <v>45545</v>
      </c>
      <c r="F64" s="5" t="n">
        <v>0.729166666666667</v>
      </c>
      <c r="G64" s="3" t="s">
        <v>30</v>
      </c>
      <c r="H64" s="7" t="n">
        <f aca="false">IFERROR(HOUR(F64),"N/A")</f>
        <v>17</v>
      </c>
      <c r="I64" s="7" t="str">
        <f aca="false">IFERROR(TEXT(E64,"dddd"),"N/A")</f>
        <v>Tuesday</v>
      </c>
    </row>
    <row r="65" customFormat="false" ht="14.25" hidden="false" customHeight="true" outlineLevel="0" collapsed="false">
      <c r="A65" s="3" t="s">
        <v>168</v>
      </c>
      <c r="B65" s="3" t="s">
        <v>169</v>
      </c>
      <c r="C65" s="3" t="s">
        <v>20</v>
      </c>
      <c r="D65" s="3" t="s">
        <v>24</v>
      </c>
      <c r="E65" s="4" t="n">
        <v>45648</v>
      </c>
      <c r="F65" s="5" t="n">
        <v>0.458333333333333</v>
      </c>
      <c r="G65" s="3" t="s">
        <v>25</v>
      </c>
      <c r="H65" s="7" t="n">
        <f aca="false">IFERROR(HOUR(F65),"N/A")</f>
        <v>11</v>
      </c>
      <c r="I65" s="7" t="str">
        <f aca="false">IFERROR(TEXT(E65,"dddd"),"N/A")</f>
        <v>Sunday</v>
      </c>
    </row>
    <row r="66" customFormat="false" ht="14.25" hidden="false" customHeight="true" outlineLevel="0" collapsed="false">
      <c r="A66" s="3" t="s">
        <v>170</v>
      </c>
      <c r="B66" s="3" t="s">
        <v>171</v>
      </c>
      <c r="C66" s="3" t="s">
        <v>137</v>
      </c>
      <c r="D66" s="3" t="s">
        <v>77</v>
      </c>
      <c r="E66" s="4" t="n">
        <v>45307</v>
      </c>
      <c r="F66" s="5" t="n">
        <v>0.770833333333333</v>
      </c>
      <c r="G66" s="3" t="s">
        <v>25</v>
      </c>
      <c r="H66" s="7" t="n">
        <f aca="false">IFERROR(HOUR(F66),"N/A")</f>
        <v>18</v>
      </c>
      <c r="I66" s="7" t="str">
        <f aca="false">IFERROR(TEXT(E66,"dddd"),"N/A")</f>
        <v>Tuesday</v>
      </c>
    </row>
    <row r="67" customFormat="false" ht="14.25" hidden="false" customHeight="true" outlineLevel="0" collapsed="false">
      <c r="A67" s="3" t="s">
        <v>172</v>
      </c>
      <c r="B67" s="3" t="s">
        <v>173</v>
      </c>
      <c r="C67" s="3" t="s">
        <v>74</v>
      </c>
      <c r="D67" s="3" t="s">
        <v>77</v>
      </c>
      <c r="E67" s="4" t="n">
        <v>45617</v>
      </c>
      <c r="F67" s="5" t="n">
        <v>0.6875</v>
      </c>
      <c r="G67" s="3" t="s">
        <v>30</v>
      </c>
      <c r="H67" s="7" t="n">
        <f aca="false">IFERROR(HOUR(F67),"N/A")</f>
        <v>16</v>
      </c>
      <c r="I67" s="7" t="str">
        <f aca="false">IFERROR(TEXT(E67,"dddd"),"N/A")</f>
        <v>Thursday</v>
      </c>
    </row>
    <row r="68" customFormat="false" ht="14.25" hidden="false" customHeight="true" outlineLevel="0" collapsed="false">
      <c r="A68" s="3" t="s">
        <v>174</v>
      </c>
      <c r="B68" s="3" t="s">
        <v>175</v>
      </c>
      <c r="C68" s="3" t="s">
        <v>15</v>
      </c>
      <c r="D68" s="3" t="s">
        <v>71</v>
      </c>
      <c r="E68" s="4" t="n">
        <v>45387</v>
      </c>
      <c r="F68" s="5" t="n">
        <v>0.5</v>
      </c>
      <c r="G68" s="3" t="s">
        <v>21</v>
      </c>
      <c r="H68" s="7" t="n">
        <f aca="false">IFERROR(HOUR(F68),"N/A")</f>
        <v>12</v>
      </c>
      <c r="I68" s="7" t="str">
        <f aca="false">IFERROR(TEXT(E68,"dddd"),"N/A")</f>
        <v>Friday</v>
      </c>
    </row>
    <row r="69" customFormat="false" ht="14.25" hidden="false" customHeight="true" outlineLevel="0" collapsed="false">
      <c r="A69" s="3" t="s">
        <v>176</v>
      </c>
      <c r="B69" s="3" t="s">
        <v>177</v>
      </c>
      <c r="C69" s="3" t="s">
        <v>87</v>
      </c>
      <c r="D69" s="3" t="s">
        <v>77</v>
      </c>
      <c r="E69" s="4" t="n">
        <v>45485</v>
      </c>
      <c r="F69" s="5" t="n">
        <v>0.708333333333333</v>
      </c>
      <c r="G69" s="3" t="s">
        <v>17</v>
      </c>
      <c r="H69" s="7" t="n">
        <f aca="false">IFERROR(HOUR(F69),"N/A")</f>
        <v>17</v>
      </c>
      <c r="I69" s="7" t="str">
        <f aca="false">IFERROR(TEXT(E69,"dddd"),"N/A")</f>
        <v>Friday</v>
      </c>
    </row>
    <row r="70" customFormat="false" ht="14.25" hidden="false" customHeight="true" outlineLevel="0" collapsed="false">
      <c r="A70" s="3" t="s">
        <v>9</v>
      </c>
      <c r="B70" s="3" t="s">
        <v>178</v>
      </c>
      <c r="C70" s="3" t="s">
        <v>179</v>
      </c>
      <c r="D70" s="3" t="s">
        <v>71</v>
      </c>
      <c r="E70" s="4" t="n">
        <v>45292</v>
      </c>
      <c r="F70" s="5" t="s">
        <v>9</v>
      </c>
      <c r="G70" s="3" t="s">
        <v>9</v>
      </c>
      <c r="H70" s="7" t="str">
        <f aca="false">IFERROR(HOUR(F70),"N/A")</f>
        <v>N/A</v>
      </c>
      <c r="I70" s="7" t="str">
        <f aca="false">IFERROR(TEXT(E70,"dddd"),"N/A")</f>
        <v>Monday</v>
      </c>
    </row>
    <row r="71" customFormat="false" ht="14.25" hidden="false" customHeight="true" outlineLevel="0" collapsed="false">
      <c r="A71" s="3" t="s">
        <v>180</v>
      </c>
      <c r="B71" s="3" t="s">
        <v>181</v>
      </c>
      <c r="C71" s="3" t="s">
        <v>50</v>
      </c>
      <c r="D71" s="3" t="s">
        <v>12</v>
      </c>
      <c r="E71" s="4" t="n">
        <v>45410</v>
      </c>
      <c r="F71" s="5" t="n">
        <v>0.770833333333333</v>
      </c>
      <c r="G71" s="3" t="s">
        <v>17</v>
      </c>
      <c r="H71" s="7" t="n">
        <f aca="false">IFERROR(HOUR(F71),"N/A")</f>
        <v>18</v>
      </c>
      <c r="I71" s="7" t="str">
        <f aca="false">IFERROR(TEXT(E71,"dddd"),"N/A")</f>
        <v>Sunday</v>
      </c>
    </row>
    <row r="72" customFormat="false" ht="14.25" hidden="false" customHeight="true" outlineLevel="0" collapsed="false">
      <c r="A72" s="3" t="s">
        <v>182</v>
      </c>
      <c r="B72" s="3" t="s">
        <v>183</v>
      </c>
      <c r="C72" s="3" t="s">
        <v>41</v>
      </c>
      <c r="D72" s="3" t="s">
        <v>24</v>
      </c>
      <c r="E72" s="4" t="n">
        <v>45457</v>
      </c>
      <c r="F72" s="5" t="n">
        <v>0.333333333333333</v>
      </c>
      <c r="G72" s="3" t="s">
        <v>25</v>
      </c>
      <c r="H72" s="7" t="n">
        <f aca="false">IFERROR(HOUR(F72),"N/A")</f>
        <v>8</v>
      </c>
      <c r="I72" s="7" t="str">
        <f aca="false">IFERROR(TEXT(E72,"dddd"),"N/A")</f>
        <v>Friday</v>
      </c>
    </row>
    <row r="73" customFormat="false" ht="14.25" hidden="false" customHeight="true" outlineLevel="0" collapsed="false">
      <c r="A73" s="3" t="s">
        <v>184</v>
      </c>
      <c r="B73" s="3" t="s">
        <v>185</v>
      </c>
      <c r="C73" s="3" t="s">
        <v>105</v>
      </c>
      <c r="D73" s="3" t="s">
        <v>16</v>
      </c>
      <c r="E73" s="4" t="n">
        <v>45407</v>
      </c>
      <c r="F73" s="5" t="n">
        <v>0.75</v>
      </c>
      <c r="G73" s="3" t="s">
        <v>17</v>
      </c>
      <c r="H73" s="7" t="n">
        <f aca="false">IFERROR(HOUR(F73),"N/A")</f>
        <v>18</v>
      </c>
      <c r="I73" s="7" t="str">
        <f aca="false">IFERROR(TEXT(E73,"dddd"),"N/A")</f>
        <v>Thursday</v>
      </c>
    </row>
    <row r="74" customFormat="false" ht="14.25" hidden="false" customHeight="true" outlineLevel="0" collapsed="false">
      <c r="A74" s="3" t="s">
        <v>186</v>
      </c>
      <c r="B74" s="3" t="s">
        <v>187</v>
      </c>
      <c r="C74" s="3" t="s">
        <v>50</v>
      </c>
      <c r="D74" s="3" t="s">
        <v>24</v>
      </c>
      <c r="E74" s="4" t="n">
        <v>45416</v>
      </c>
      <c r="F74" s="5" t="n">
        <v>0.479166666666667</v>
      </c>
      <c r="G74" s="3" t="s">
        <v>25</v>
      </c>
      <c r="H74" s="7" t="n">
        <f aca="false">IFERROR(HOUR(F74),"N/A")</f>
        <v>11</v>
      </c>
      <c r="I74" s="7" t="str">
        <f aca="false">IFERROR(TEXT(E74,"dddd"),"N/A")</f>
        <v>Saturday</v>
      </c>
    </row>
    <row r="75" customFormat="false" ht="14.25" hidden="false" customHeight="true" outlineLevel="0" collapsed="false">
      <c r="A75" s="3" t="s">
        <v>188</v>
      </c>
      <c r="B75" s="3" t="s">
        <v>189</v>
      </c>
      <c r="C75" s="3" t="s">
        <v>100</v>
      </c>
      <c r="D75" s="3" t="s">
        <v>29</v>
      </c>
      <c r="E75" s="4" t="n">
        <v>45493</v>
      </c>
      <c r="F75" s="5" t="n">
        <v>0.770833333333333</v>
      </c>
      <c r="G75" s="3" t="s">
        <v>21</v>
      </c>
      <c r="H75" s="7" t="n">
        <f aca="false">IFERROR(HOUR(F75),"N/A")</f>
        <v>18</v>
      </c>
      <c r="I75" s="7" t="str">
        <f aca="false">IFERROR(TEXT(E75,"dddd"),"N/A")</f>
        <v>Saturday</v>
      </c>
    </row>
    <row r="76" customFormat="false" ht="14.25" hidden="false" customHeight="true" outlineLevel="0" collapsed="false">
      <c r="A76" s="3" t="s">
        <v>190</v>
      </c>
      <c r="B76" s="3" t="s">
        <v>191</v>
      </c>
      <c r="C76" s="3" t="s">
        <v>28</v>
      </c>
      <c r="D76" s="3" t="s">
        <v>12</v>
      </c>
      <c r="E76" s="4" t="n">
        <v>45392</v>
      </c>
      <c r="F76" s="5" t="n">
        <v>0.333333333333333</v>
      </c>
      <c r="G76" s="3" t="s">
        <v>21</v>
      </c>
      <c r="H76" s="7" t="n">
        <f aca="false">IFERROR(HOUR(F76),"N/A")</f>
        <v>8</v>
      </c>
      <c r="I76" s="7" t="str">
        <f aca="false">IFERROR(TEXT(E76,"dddd"),"N/A")</f>
        <v>Wednesday</v>
      </c>
    </row>
    <row r="77" customFormat="false" ht="14.25" hidden="false" customHeight="true" outlineLevel="0" collapsed="false">
      <c r="A77" s="3" t="s">
        <v>192</v>
      </c>
      <c r="B77" s="3" t="s">
        <v>193</v>
      </c>
      <c r="C77" s="3" t="s">
        <v>47</v>
      </c>
      <c r="D77" s="3" t="s">
        <v>71</v>
      </c>
      <c r="E77" s="4" t="n">
        <v>45382</v>
      </c>
      <c r="F77" s="5" t="n">
        <v>0.375</v>
      </c>
      <c r="G77" s="3" t="s">
        <v>17</v>
      </c>
      <c r="H77" s="7" t="n">
        <f aca="false">IFERROR(HOUR(F77),"N/A")</f>
        <v>9</v>
      </c>
      <c r="I77" s="7" t="str">
        <f aca="false">IFERROR(TEXT(E77,"dddd"),"N/A")</f>
        <v>Sunday</v>
      </c>
    </row>
    <row r="78" customFormat="false" ht="14.25" hidden="false" customHeight="true" outlineLevel="0" collapsed="false">
      <c r="A78" s="3" t="s">
        <v>194</v>
      </c>
      <c r="B78" s="3" t="s">
        <v>195</v>
      </c>
      <c r="C78" s="3" t="s">
        <v>56</v>
      </c>
      <c r="D78" s="3" t="s">
        <v>24</v>
      </c>
      <c r="E78" s="4" t="n">
        <v>45651</v>
      </c>
      <c r="F78" s="5" t="n">
        <v>0.5</v>
      </c>
      <c r="G78" s="3" t="s">
        <v>25</v>
      </c>
      <c r="H78" s="7" t="n">
        <f aca="false">IFERROR(HOUR(F78),"N/A")</f>
        <v>12</v>
      </c>
      <c r="I78" s="7" t="str">
        <f aca="false">IFERROR(TEXT(E78,"dddd"),"N/A")</f>
        <v>Wednesday</v>
      </c>
    </row>
    <row r="79" customFormat="false" ht="14.25" hidden="false" customHeight="true" outlineLevel="0" collapsed="false">
      <c r="A79" s="3" t="s">
        <v>196</v>
      </c>
      <c r="B79" s="3" t="s">
        <v>197</v>
      </c>
      <c r="C79" s="3" t="s">
        <v>56</v>
      </c>
      <c r="D79" s="3" t="s">
        <v>16</v>
      </c>
      <c r="E79" s="4" t="n">
        <v>45464</v>
      </c>
      <c r="F79" s="5" t="n">
        <v>0.625</v>
      </c>
      <c r="G79" s="3" t="s">
        <v>30</v>
      </c>
      <c r="H79" s="7" t="n">
        <f aca="false">IFERROR(HOUR(F79),"N/A")</f>
        <v>15</v>
      </c>
      <c r="I79" s="7" t="str">
        <f aca="false">IFERROR(TEXT(E79,"dddd"),"N/A")</f>
        <v>Friday</v>
      </c>
    </row>
    <row r="80" customFormat="false" ht="14.25" hidden="false" customHeight="true" outlineLevel="0" collapsed="false">
      <c r="A80" s="3" t="s">
        <v>198</v>
      </c>
      <c r="B80" s="3" t="s">
        <v>199</v>
      </c>
      <c r="C80" s="3" t="s">
        <v>124</v>
      </c>
      <c r="D80" s="3" t="s">
        <v>16</v>
      </c>
      <c r="E80" s="4" t="n">
        <v>45504</v>
      </c>
      <c r="F80" s="5" t="n">
        <v>0.583333333333333</v>
      </c>
      <c r="G80" s="3" t="s">
        <v>17</v>
      </c>
      <c r="H80" s="7" t="n">
        <f aca="false">IFERROR(HOUR(F80),"N/A")</f>
        <v>14</v>
      </c>
      <c r="I80" s="7" t="str">
        <f aca="false">IFERROR(TEXT(E80,"dddd"),"N/A")</f>
        <v>Wednesday</v>
      </c>
    </row>
    <row r="81" customFormat="false" ht="14.25" hidden="false" customHeight="true" outlineLevel="0" collapsed="false">
      <c r="A81" s="3" t="s">
        <v>200</v>
      </c>
      <c r="B81" s="3" t="s">
        <v>201</v>
      </c>
      <c r="C81" s="3" t="s">
        <v>90</v>
      </c>
      <c r="D81" s="3" t="s">
        <v>77</v>
      </c>
      <c r="E81" s="4" t="n">
        <v>45594</v>
      </c>
      <c r="F81" s="5" t="n">
        <v>0.708333333333333</v>
      </c>
      <c r="G81" s="3" t="s">
        <v>21</v>
      </c>
      <c r="H81" s="7" t="n">
        <f aca="false">IFERROR(HOUR(F81),"N/A")</f>
        <v>17</v>
      </c>
      <c r="I81" s="7" t="str">
        <f aca="false">IFERROR(TEXT(E81,"dddd"),"N/A")</f>
        <v>Tuesday</v>
      </c>
    </row>
    <row r="82" customFormat="false" ht="14.25" hidden="false" customHeight="true" outlineLevel="0" collapsed="false">
      <c r="A82" s="3" t="s">
        <v>202</v>
      </c>
      <c r="B82" s="3" t="s">
        <v>203</v>
      </c>
      <c r="C82" s="3" t="s">
        <v>50</v>
      </c>
      <c r="D82" s="3" t="s">
        <v>71</v>
      </c>
      <c r="E82" s="4" t="n">
        <v>45614</v>
      </c>
      <c r="F82" s="5" t="n">
        <v>0.666666666666667</v>
      </c>
      <c r="G82" s="3" t="s">
        <v>30</v>
      </c>
      <c r="H82" s="7" t="n">
        <f aca="false">IFERROR(HOUR(F82),"N/A")</f>
        <v>16</v>
      </c>
      <c r="I82" s="7" t="str">
        <f aca="false">IFERROR(TEXT(E82,"dddd"),"N/A")</f>
        <v>Monday</v>
      </c>
    </row>
    <row r="83" customFormat="false" ht="14.25" hidden="false" customHeight="true" outlineLevel="0" collapsed="false">
      <c r="A83" s="3" t="s">
        <v>204</v>
      </c>
      <c r="B83" s="3" t="s">
        <v>205</v>
      </c>
      <c r="C83" s="3" t="s">
        <v>70</v>
      </c>
      <c r="D83" s="3" t="s">
        <v>12</v>
      </c>
      <c r="E83" s="4" t="n">
        <v>45541</v>
      </c>
      <c r="F83" s="5" t="n">
        <v>0.5</v>
      </c>
      <c r="G83" s="3" t="s">
        <v>25</v>
      </c>
      <c r="H83" s="7" t="n">
        <f aca="false">IFERROR(HOUR(F83),"N/A")</f>
        <v>12</v>
      </c>
      <c r="I83" s="7" t="str">
        <f aca="false">IFERROR(TEXT(E83,"dddd"),"N/A")</f>
        <v>Friday</v>
      </c>
    </row>
    <row r="84" customFormat="false" ht="14.25" hidden="false" customHeight="true" outlineLevel="0" collapsed="false">
      <c r="A84" s="3" t="s">
        <v>206</v>
      </c>
      <c r="B84" s="3" t="s">
        <v>207</v>
      </c>
      <c r="C84" s="3" t="s">
        <v>95</v>
      </c>
      <c r="D84" s="3" t="s">
        <v>12</v>
      </c>
      <c r="E84" s="4" t="n">
        <v>45440</v>
      </c>
      <c r="F84" s="5" t="n">
        <v>0.6875</v>
      </c>
      <c r="G84" s="3" t="s">
        <v>30</v>
      </c>
      <c r="H84" s="7" t="n">
        <f aca="false">IFERROR(HOUR(F84),"N/A")</f>
        <v>16</v>
      </c>
      <c r="I84" s="7" t="str">
        <f aca="false">IFERROR(TEXT(E84,"dddd"),"N/A")</f>
        <v>Tuesday</v>
      </c>
    </row>
    <row r="85" customFormat="false" ht="14.25" hidden="false" customHeight="true" outlineLevel="0" collapsed="false">
      <c r="A85" s="3" t="s">
        <v>208</v>
      </c>
      <c r="B85" s="3" t="s">
        <v>209</v>
      </c>
      <c r="C85" s="3" t="s">
        <v>210</v>
      </c>
      <c r="D85" s="3" t="s">
        <v>71</v>
      </c>
      <c r="E85" s="4" t="n">
        <v>45307</v>
      </c>
      <c r="F85" s="5" t="n">
        <v>0.6875</v>
      </c>
      <c r="G85" s="3" t="s">
        <v>25</v>
      </c>
      <c r="H85" s="7" t="n">
        <f aca="false">IFERROR(HOUR(F85),"N/A")</f>
        <v>16</v>
      </c>
      <c r="I85" s="7" t="str">
        <f aca="false">IFERROR(TEXT(E85,"dddd"),"N/A")</f>
        <v>Tuesday</v>
      </c>
    </row>
    <row r="86" customFormat="false" ht="14.25" hidden="false" customHeight="true" outlineLevel="0" collapsed="false">
      <c r="A86" s="3" t="s">
        <v>211</v>
      </c>
      <c r="B86" s="3" t="s">
        <v>212</v>
      </c>
      <c r="C86" s="3" t="s">
        <v>67</v>
      </c>
      <c r="D86" s="3" t="s">
        <v>29</v>
      </c>
      <c r="E86" s="4" t="n">
        <v>45523</v>
      </c>
      <c r="F86" s="5" t="n">
        <v>0.333333333333333</v>
      </c>
      <c r="G86" s="3" t="s">
        <v>25</v>
      </c>
      <c r="H86" s="7" t="n">
        <f aca="false">IFERROR(HOUR(F86),"N/A")</f>
        <v>8</v>
      </c>
      <c r="I86" s="7" t="str">
        <f aca="false">IFERROR(TEXT(E86,"dddd"),"N/A")</f>
        <v>Monday</v>
      </c>
    </row>
    <row r="87" customFormat="false" ht="14.25" hidden="false" customHeight="true" outlineLevel="0" collapsed="false">
      <c r="A87" s="3" t="s">
        <v>213</v>
      </c>
      <c r="B87" s="3" t="s">
        <v>214</v>
      </c>
      <c r="C87" s="3" t="s">
        <v>95</v>
      </c>
      <c r="D87" s="3" t="s">
        <v>12</v>
      </c>
      <c r="E87" s="4" t="n">
        <v>45534</v>
      </c>
      <c r="F87" s="5" t="n">
        <v>0.729166666666667</v>
      </c>
      <c r="G87" s="3" t="s">
        <v>25</v>
      </c>
      <c r="H87" s="7" t="n">
        <f aca="false">IFERROR(HOUR(F87),"N/A")</f>
        <v>17</v>
      </c>
      <c r="I87" s="7" t="str">
        <f aca="false">IFERROR(TEXT(E87,"dddd"),"N/A")</f>
        <v>Friday</v>
      </c>
    </row>
    <row r="88" customFormat="false" ht="14.25" hidden="false" customHeight="true" outlineLevel="0" collapsed="false">
      <c r="A88" s="3" t="s">
        <v>215</v>
      </c>
      <c r="B88" s="3" t="s">
        <v>216</v>
      </c>
      <c r="C88" s="3" t="s">
        <v>179</v>
      </c>
      <c r="D88" s="3" t="s">
        <v>71</v>
      </c>
      <c r="E88" s="4" t="n">
        <v>45386</v>
      </c>
      <c r="F88" s="5" t="n">
        <v>0.729166666666667</v>
      </c>
      <c r="G88" s="3" t="s">
        <v>25</v>
      </c>
      <c r="H88" s="7" t="n">
        <f aca="false">IFERROR(HOUR(F88),"N/A")</f>
        <v>17</v>
      </c>
      <c r="I88" s="7" t="str">
        <f aca="false">IFERROR(TEXT(E88,"dddd"),"N/A")</f>
        <v>Thursday</v>
      </c>
    </row>
    <row r="89" customFormat="false" ht="14.25" hidden="false" customHeight="true" outlineLevel="0" collapsed="false">
      <c r="A89" s="3" t="s">
        <v>217</v>
      </c>
      <c r="B89" s="3" t="s">
        <v>218</v>
      </c>
      <c r="C89" s="3" t="s">
        <v>41</v>
      </c>
      <c r="D89" s="3" t="s">
        <v>29</v>
      </c>
      <c r="E89" s="4" t="n">
        <v>45386</v>
      </c>
      <c r="F89" s="5" t="n">
        <v>0.708333333333333</v>
      </c>
      <c r="G89" s="3" t="s">
        <v>21</v>
      </c>
      <c r="H89" s="7" t="n">
        <f aca="false">IFERROR(HOUR(F89),"N/A")</f>
        <v>17</v>
      </c>
      <c r="I89" s="7" t="str">
        <f aca="false">IFERROR(TEXT(E89,"dddd"),"N/A")</f>
        <v>Thursday</v>
      </c>
    </row>
    <row r="90" customFormat="false" ht="14.25" hidden="false" customHeight="true" outlineLevel="0" collapsed="false">
      <c r="A90" s="3" t="s">
        <v>219</v>
      </c>
      <c r="B90" s="3" t="s">
        <v>220</v>
      </c>
      <c r="C90" s="3" t="s">
        <v>44</v>
      </c>
      <c r="D90" s="3" t="s">
        <v>16</v>
      </c>
      <c r="E90" s="4" t="n">
        <v>45468</v>
      </c>
      <c r="F90" s="5" t="n">
        <v>0.625</v>
      </c>
      <c r="G90" s="3" t="s">
        <v>21</v>
      </c>
      <c r="H90" s="7" t="n">
        <f aca="false">IFERROR(HOUR(F90),"N/A")</f>
        <v>15</v>
      </c>
      <c r="I90" s="7" t="str">
        <f aca="false">IFERROR(TEXT(E90,"dddd"),"N/A")</f>
        <v>Tuesday</v>
      </c>
    </row>
    <row r="91" customFormat="false" ht="14.25" hidden="false" customHeight="true" outlineLevel="0" collapsed="false">
      <c r="A91" s="3" t="s">
        <v>9</v>
      </c>
      <c r="B91" s="3" t="s">
        <v>221</v>
      </c>
      <c r="C91" s="3" t="s">
        <v>124</v>
      </c>
      <c r="D91" s="3" t="s">
        <v>71</v>
      </c>
      <c r="E91" s="4" t="n">
        <v>45305</v>
      </c>
      <c r="F91" s="5" t="s">
        <v>9</v>
      </c>
      <c r="G91" s="3" t="s">
        <v>9</v>
      </c>
      <c r="H91" s="7" t="str">
        <f aca="false">IFERROR(HOUR(F91),"N/A")</f>
        <v>N/A</v>
      </c>
      <c r="I91" s="7" t="str">
        <f aca="false">IFERROR(TEXT(E91,"dddd"),"N/A")</f>
        <v>Sunday</v>
      </c>
    </row>
    <row r="92" customFormat="false" ht="14.25" hidden="false" customHeight="true" outlineLevel="0" collapsed="false">
      <c r="A92" s="3" t="s">
        <v>222</v>
      </c>
      <c r="B92" s="3" t="s">
        <v>223</v>
      </c>
      <c r="C92" s="3" t="s">
        <v>74</v>
      </c>
      <c r="D92" s="3" t="s">
        <v>16</v>
      </c>
      <c r="E92" s="4" t="n">
        <v>45390</v>
      </c>
      <c r="F92" s="5" t="n">
        <v>0.708333333333333</v>
      </c>
      <c r="G92" s="3" t="s">
        <v>17</v>
      </c>
      <c r="H92" s="7" t="n">
        <f aca="false">IFERROR(HOUR(F92),"N/A")</f>
        <v>17</v>
      </c>
      <c r="I92" s="7" t="str">
        <f aca="false">IFERROR(TEXT(E92,"dddd"),"N/A")</f>
        <v>Monday</v>
      </c>
    </row>
    <row r="93" customFormat="false" ht="14.25" hidden="false" customHeight="true" outlineLevel="0" collapsed="false">
      <c r="A93" s="3" t="s">
        <v>224</v>
      </c>
      <c r="B93" s="3" t="s">
        <v>225</v>
      </c>
      <c r="C93" s="3" t="s">
        <v>100</v>
      </c>
      <c r="D93" s="3" t="s">
        <v>77</v>
      </c>
      <c r="E93" s="4" t="n">
        <v>45654</v>
      </c>
      <c r="F93" s="5" t="n">
        <v>0.583333333333333</v>
      </c>
      <c r="G93" s="3" t="s">
        <v>25</v>
      </c>
      <c r="H93" s="7" t="n">
        <f aca="false">IFERROR(HOUR(F93),"N/A")</f>
        <v>14</v>
      </c>
      <c r="I93" s="7" t="str">
        <f aca="false">IFERROR(TEXT(E93,"dddd"),"N/A")</f>
        <v>Saturday</v>
      </c>
    </row>
    <row r="94" customFormat="false" ht="14.25" hidden="false" customHeight="true" outlineLevel="0" collapsed="false">
      <c r="A94" s="3" t="s">
        <v>226</v>
      </c>
      <c r="B94" s="3" t="s">
        <v>227</v>
      </c>
      <c r="C94" s="3" t="s">
        <v>28</v>
      </c>
      <c r="D94" s="3" t="s">
        <v>29</v>
      </c>
      <c r="E94" s="4" t="n">
        <v>45454</v>
      </c>
      <c r="F94" s="5" t="n">
        <v>0.458333333333333</v>
      </c>
      <c r="G94" s="3" t="s">
        <v>30</v>
      </c>
      <c r="H94" s="7" t="n">
        <f aca="false">IFERROR(HOUR(F94),"N/A")</f>
        <v>11</v>
      </c>
      <c r="I94" s="7" t="str">
        <f aca="false">IFERROR(TEXT(E94,"dddd"),"N/A")</f>
        <v>Tuesday</v>
      </c>
    </row>
    <row r="95" customFormat="false" ht="14.25" hidden="false" customHeight="true" outlineLevel="0" collapsed="false">
      <c r="A95" s="3" t="s">
        <v>228</v>
      </c>
      <c r="B95" s="3" t="s">
        <v>229</v>
      </c>
      <c r="C95" s="3" t="s">
        <v>15</v>
      </c>
      <c r="D95" s="3" t="s">
        <v>16</v>
      </c>
      <c r="E95" s="4" t="n">
        <v>45449</v>
      </c>
      <c r="F95" s="5" t="n">
        <v>0.770833333333333</v>
      </c>
      <c r="G95" s="3" t="s">
        <v>21</v>
      </c>
      <c r="H95" s="7" t="n">
        <f aca="false">IFERROR(HOUR(F95),"N/A")</f>
        <v>18</v>
      </c>
      <c r="I95" s="7" t="str">
        <f aca="false">IFERROR(TEXT(E95,"dddd"),"N/A")</f>
        <v>Thursday</v>
      </c>
    </row>
    <row r="96" customFormat="false" ht="14.25" hidden="false" customHeight="true" outlineLevel="0" collapsed="false">
      <c r="A96" s="3" t="s">
        <v>230</v>
      </c>
      <c r="B96" s="3" t="s">
        <v>231</v>
      </c>
      <c r="C96" s="3" t="s">
        <v>15</v>
      </c>
      <c r="D96" s="3" t="s">
        <v>71</v>
      </c>
      <c r="E96" s="4" t="n">
        <v>45600</v>
      </c>
      <c r="F96" s="5" t="n">
        <v>0.666666666666667</v>
      </c>
      <c r="G96" s="3" t="s">
        <v>30</v>
      </c>
      <c r="H96" s="7" t="n">
        <f aca="false">IFERROR(HOUR(F96),"N/A")</f>
        <v>16</v>
      </c>
      <c r="I96" s="7" t="str">
        <f aca="false">IFERROR(TEXT(E96,"dddd"),"N/A")</f>
        <v>Monday</v>
      </c>
    </row>
    <row r="97" customFormat="false" ht="14.25" hidden="false" customHeight="true" outlineLevel="0" collapsed="false">
      <c r="A97" s="3" t="s">
        <v>232</v>
      </c>
      <c r="B97" s="3" t="s">
        <v>233</v>
      </c>
      <c r="C97" s="3" t="s">
        <v>87</v>
      </c>
      <c r="D97" s="3" t="s">
        <v>77</v>
      </c>
      <c r="E97" s="4" t="n">
        <v>45370</v>
      </c>
      <c r="F97" s="5" t="n">
        <v>0.666666666666667</v>
      </c>
      <c r="G97" s="3" t="s">
        <v>21</v>
      </c>
      <c r="H97" s="7" t="n">
        <f aca="false">IFERROR(HOUR(F97),"N/A")</f>
        <v>16</v>
      </c>
      <c r="I97" s="7" t="str">
        <f aca="false">IFERROR(TEXT(E97,"dddd"),"N/A")</f>
        <v>Tuesday</v>
      </c>
    </row>
    <row r="98" customFormat="false" ht="14.25" hidden="false" customHeight="true" outlineLevel="0" collapsed="false">
      <c r="A98" s="3" t="s">
        <v>234</v>
      </c>
      <c r="B98" s="3" t="s">
        <v>235</v>
      </c>
      <c r="C98" s="3" t="s">
        <v>80</v>
      </c>
      <c r="D98" s="3" t="s">
        <v>29</v>
      </c>
      <c r="E98" s="4" t="n">
        <v>45389</v>
      </c>
      <c r="F98" s="5" t="n">
        <v>0.354166666666667</v>
      </c>
      <c r="G98" s="3" t="s">
        <v>30</v>
      </c>
      <c r="H98" s="7" t="n">
        <f aca="false">IFERROR(HOUR(F98),"N/A")</f>
        <v>8</v>
      </c>
      <c r="I98" s="7" t="str">
        <f aca="false">IFERROR(TEXT(E98,"dddd"),"N/A")</f>
        <v>Sunday</v>
      </c>
    </row>
    <row r="99" customFormat="false" ht="14.25" hidden="false" customHeight="true" outlineLevel="0" collapsed="false">
      <c r="A99" s="3" t="s">
        <v>236</v>
      </c>
      <c r="B99" s="3" t="s">
        <v>237</v>
      </c>
      <c r="C99" s="3" t="s">
        <v>154</v>
      </c>
      <c r="D99" s="3" t="s">
        <v>24</v>
      </c>
      <c r="E99" s="4" t="n">
        <v>45438</v>
      </c>
      <c r="F99" s="5" t="n">
        <v>0.4375</v>
      </c>
      <c r="G99" s="3" t="s">
        <v>30</v>
      </c>
      <c r="H99" s="7" t="n">
        <f aca="false">IFERROR(HOUR(F99),"N/A")</f>
        <v>10</v>
      </c>
      <c r="I99" s="7" t="str">
        <f aca="false">IFERROR(TEXT(E99,"dddd"),"N/A")</f>
        <v>Sunday</v>
      </c>
    </row>
    <row r="100" customFormat="false" ht="14.25" hidden="false" customHeight="true" outlineLevel="0" collapsed="false">
      <c r="A100" s="3" t="s">
        <v>238</v>
      </c>
      <c r="B100" s="3" t="s">
        <v>239</v>
      </c>
      <c r="C100" s="3" t="s">
        <v>240</v>
      </c>
      <c r="D100" s="3" t="s">
        <v>12</v>
      </c>
      <c r="E100" s="4" t="n">
        <v>45457</v>
      </c>
      <c r="F100" s="5" t="n">
        <v>0.5</v>
      </c>
      <c r="G100" s="3" t="s">
        <v>17</v>
      </c>
      <c r="H100" s="7" t="n">
        <f aca="false">IFERROR(HOUR(F100),"N/A")</f>
        <v>12</v>
      </c>
      <c r="I100" s="7" t="str">
        <f aca="false">IFERROR(TEXT(E100,"dddd"),"N/A")</f>
        <v>Friday</v>
      </c>
    </row>
    <row r="101" customFormat="false" ht="14.25" hidden="false" customHeight="true" outlineLevel="0" collapsed="false">
      <c r="A101" s="3" t="s">
        <v>241</v>
      </c>
      <c r="B101" s="3" t="s">
        <v>242</v>
      </c>
      <c r="C101" s="3" t="s">
        <v>179</v>
      </c>
      <c r="D101" s="3" t="s">
        <v>71</v>
      </c>
      <c r="E101" s="4" t="n">
        <v>45428</v>
      </c>
      <c r="F101" s="5" t="n">
        <v>0.770833333333333</v>
      </c>
      <c r="G101" s="3" t="s">
        <v>25</v>
      </c>
      <c r="H101" s="7" t="n">
        <f aca="false">IFERROR(HOUR(F101),"N/A")</f>
        <v>18</v>
      </c>
      <c r="I101" s="7" t="str">
        <f aca="false">IFERROR(TEXT(E101,"dddd"),"N/A")</f>
        <v>Thursday</v>
      </c>
    </row>
    <row r="102" customFormat="false" ht="14.25" hidden="false" customHeight="true" outlineLevel="0" collapsed="false">
      <c r="A102" s="3" t="s">
        <v>243</v>
      </c>
      <c r="B102" s="3" t="s">
        <v>244</v>
      </c>
      <c r="C102" s="3" t="s">
        <v>210</v>
      </c>
      <c r="D102" s="3" t="s">
        <v>16</v>
      </c>
      <c r="E102" s="4" t="n">
        <v>45367</v>
      </c>
      <c r="F102" s="5" t="n">
        <v>0.416666666666667</v>
      </c>
      <c r="G102" s="3" t="s">
        <v>21</v>
      </c>
      <c r="H102" s="7" t="n">
        <f aca="false">IFERROR(HOUR(F102),"N/A")</f>
        <v>10</v>
      </c>
      <c r="I102" s="7" t="str">
        <f aca="false">IFERROR(TEXT(E102,"dddd"),"N/A")</f>
        <v>Saturday</v>
      </c>
    </row>
    <row r="103" customFormat="false" ht="14.25" hidden="false" customHeight="true" outlineLevel="0" collapsed="false">
      <c r="A103" s="3" t="s">
        <v>245</v>
      </c>
      <c r="B103" s="3" t="s">
        <v>246</v>
      </c>
      <c r="C103" s="3" t="s">
        <v>74</v>
      </c>
      <c r="D103" s="3" t="s">
        <v>29</v>
      </c>
      <c r="E103" s="4" t="n">
        <v>45529</v>
      </c>
      <c r="F103" s="5" t="n">
        <v>0.4375</v>
      </c>
      <c r="G103" s="3" t="s">
        <v>21</v>
      </c>
      <c r="H103" s="7" t="n">
        <f aca="false">IFERROR(HOUR(F103),"N/A")</f>
        <v>10</v>
      </c>
      <c r="I103" s="7" t="str">
        <f aca="false">IFERROR(TEXT(E103,"dddd"),"N/A")</f>
        <v>Sunday</v>
      </c>
    </row>
    <row r="104" customFormat="false" ht="14.25" hidden="false" customHeight="true" outlineLevel="0" collapsed="false">
      <c r="A104" s="3" t="s">
        <v>247</v>
      </c>
      <c r="B104" s="3" t="s">
        <v>248</v>
      </c>
      <c r="C104" s="3" t="s">
        <v>74</v>
      </c>
      <c r="D104" s="3" t="s">
        <v>24</v>
      </c>
      <c r="E104" s="4" t="n">
        <v>45306</v>
      </c>
      <c r="F104" s="5" t="n">
        <v>0.520833333333333</v>
      </c>
      <c r="G104" s="3" t="s">
        <v>25</v>
      </c>
      <c r="H104" s="7" t="n">
        <f aca="false">IFERROR(HOUR(F104),"N/A")</f>
        <v>12</v>
      </c>
      <c r="I104" s="7" t="str">
        <f aca="false">IFERROR(TEXT(E104,"dddd"),"N/A")</f>
        <v>Monday</v>
      </c>
    </row>
    <row r="105" customFormat="false" ht="14.25" hidden="false" customHeight="true" outlineLevel="0" collapsed="false">
      <c r="A105" s="3" t="s">
        <v>249</v>
      </c>
      <c r="B105" s="3" t="s">
        <v>250</v>
      </c>
      <c r="C105" s="3" t="s">
        <v>154</v>
      </c>
      <c r="D105" s="3" t="s">
        <v>24</v>
      </c>
      <c r="E105" s="4" t="n">
        <v>45618</v>
      </c>
      <c r="F105" s="5" t="n">
        <v>0.770833333333333</v>
      </c>
      <c r="G105" s="3" t="s">
        <v>21</v>
      </c>
      <c r="H105" s="7" t="n">
        <f aca="false">IFERROR(HOUR(F105),"N/A")</f>
        <v>18</v>
      </c>
      <c r="I105" s="7" t="str">
        <f aca="false">IFERROR(TEXT(E105,"dddd"),"N/A")</f>
        <v>Friday</v>
      </c>
    </row>
    <row r="106" customFormat="false" ht="14.25" hidden="false" customHeight="true" outlineLevel="0" collapsed="false">
      <c r="A106" s="3" t="s">
        <v>251</v>
      </c>
      <c r="B106" s="3" t="s">
        <v>252</v>
      </c>
      <c r="C106" s="3" t="s">
        <v>11</v>
      </c>
      <c r="D106" s="3" t="s">
        <v>12</v>
      </c>
      <c r="E106" s="4" t="n">
        <v>45387</v>
      </c>
      <c r="F106" s="5" t="n">
        <v>0.375</v>
      </c>
      <c r="G106" s="3" t="s">
        <v>30</v>
      </c>
      <c r="H106" s="7" t="n">
        <f aca="false">IFERROR(HOUR(F106),"N/A")</f>
        <v>9</v>
      </c>
      <c r="I106" s="7" t="str">
        <f aca="false">IFERROR(TEXT(E106,"dddd"),"N/A")</f>
        <v>Friday</v>
      </c>
    </row>
    <row r="107" customFormat="false" ht="14.25" hidden="false" customHeight="true" outlineLevel="0" collapsed="false">
      <c r="A107" s="3" t="s">
        <v>253</v>
      </c>
      <c r="B107" s="3" t="s">
        <v>254</v>
      </c>
      <c r="C107" s="3" t="s">
        <v>74</v>
      </c>
      <c r="D107" s="3" t="s">
        <v>24</v>
      </c>
      <c r="E107" s="4" t="n">
        <v>45646</v>
      </c>
      <c r="F107" s="5" t="n">
        <v>0.4375</v>
      </c>
      <c r="G107" s="3" t="s">
        <v>21</v>
      </c>
      <c r="H107" s="7" t="n">
        <f aca="false">IFERROR(HOUR(F107),"N/A")</f>
        <v>10</v>
      </c>
      <c r="I107" s="7" t="str">
        <f aca="false">IFERROR(TEXT(E107,"dddd"),"N/A")</f>
        <v>Friday</v>
      </c>
    </row>
    <row r="108" customFormat="false" ht="14.25" hidden="false" customHeight="true" outlineLevel="0" collapsed="false">
      <c r="A108" s="3" t="s">
        <v>255</v>
      </c>
      <c r="B108" s="3" t="s">
        <v>256</v>
      </c>
      <c r="C108" s="3" t="s">
        <v>80</v>
      </c>
      <c r="D108" s="3" t="s">
        <v>16</v>
      </c>
      <c r="E108" s="4" t="n">
        <v>45608</v>
      </c>
      <c r="F108" s="5" t="n">
        <v>0.354166666666667</v>
      </c>
      <c r="G108" s="3" t="s">
        <v>17</v>
      </c>
      <c r="H108" s="7" t="n">
        <f aca="false">IFERROR(HOUR(F108),"N/A")</f>
        <v>8</v>
      </c>
      <c r="I108" s="7" t="str">
        <f aca="false">IFERROR(TEXT(E108,"dddd"),"N/A")</f>
        <v>Tuesday</v>
      </c>
    </row>
    <row r="109" customFormat="false" ht="14.25" hidden="false" customHeight="true" outlineLevel="0" collapsed="false">
      <c r="A109" s="3" t="s">
        <v>257</v>
      </c>
      <c r="B109" s="3" t="s">
        <v>258</v>
      </c>
      <c r="C109" s="3" t="s">
        <v>100</v>
      </c>
      <c r="D109" s="3" t="s">
        <v>12</v>
      </c>
      <c r="E109" s="4" t="n">
        <v>45367</v>
      </c>
      <c r="F109" s="5" t="n">
        <v>0.604166666666667</v>
      </c>
      <c r="G109" s="3" t="s">
        <v>25</v>
      </c>
      <c r="H109" s="7" t="n">
        <f aca="false">IFERROR(HOUR(F109),"N/A")</f>
        <v>14</v>
      </c>
      <c r="I109" s="7" t="str">
        <f aca="false">IFERROR(TEXT(E109,"dddd"),"N/A")</f>
        <v>Saturday</v>
      </c>
    </row>
    <row r="110" customFormat="false" ht="14.25" hidden="false" customHeight="true" outlineLevel="0" collapsed="false">
      <c r="A110" s="3" t="s">
        <v>259</v>
      </c>
      <c r="B110" s="3" t="s">
        <v>260</v>
      </c>
      <c r="C110" s="3" t="s">
        <v>137</v>
      </c>
      <c r="D110" s="3" t="s">
        <v>71</v>
      </c>
      <c r="E110" s="4" t="n">
        <v>45404</v>
      </c>
      <c r="F110" s="5" t="n">
        <v>0.75</v>
      </c>
      <c r="G110" s="3" t="s">
        <v>25</v>
      </c>
      <c r="H110" s="7" t="n">
        <f aca="false">IFERROR(HOUR(F110),"N/A")</f>
        <v>18</v>
      </c>
      <c r="I110" s="7" t="str">
        <f aca="false">IFERROR(TEXT(E110,"dddd"),"N/A")</f>
        <v>Monday</v>
      </c>
    </row>
    <row r="111" customFormat="false" ht="14.25" hidden="false" customHeight="true" outlineLevel="0" collapsed="false">
      <c r="A111" s="3" t="s">
        <v>261</v>
      </c>
      <c r="B111" s="3" t="s">
        <v>262</v>
      </c>
      <c r="C111" s="3" t="s">
        <v>105</v>
      </c>
      <c r="D111" s="3" t="s">
        <v>29</v>
      </c>
      <c r="E111" s="4" t="n">
        <v>45480</v>
      </c>
      <c r="F111" s="5" t="n">
        <v>0.6875</v>
      </c>
      <c r="G111" s="3" t="s">
        <v>25</v>
      </c>
      <c r="H111" s="7" t="n">
        <f aca="false">IFERROR(HOUR(F111),"N/A")</f>
        <v>16</v>
      </c>
      <c r="I111" s="7" t="str">
        <f aca="false">IFERROR(TEXT(E111,"dddd"),"N/A")</f>
        <v>Sunday</v>
      </c>
    </row>
    <row r="112" customFormat="false" ht="14.25" hidden="false" customHeight="true" outlineLevel="0" collapsed="false">
      <c r="A112" s="3" t="s">
        <v>263</v>
      </c>
      <c r="B112" s="3" t="s">
        <v>264</v>
      </c>
      <c r="C112" s="3" t="s">
        <v>130</v>
      </c>
      <c r="D112" s="3" t="s">
        <v>29</v>
      </c>
      <c r="E112" s="4" t="n">
        <v>45444</v>
      </c>
      <c r="F112" s="5" t="n">
        <v>0.416666666666667</v>
      </c>
      <c r="G112" s="3" t="s">
        <v>21</v>
      </c>
      <c r="H112" s="7" t="n">
        <f aca="false">IFERROR(HOUR(F112),"N/A")</f>
        <v>10</v>
      </c>
      <c r="I112" s="7" t="str">
        <f aca="false">IFERROR(TEXT(E112,"dddd"),"N/A")</f>
        <v>Saturday</v>
      </c>
    </row>
    <row r="113" customFormat="false" ht="14.25" hidden="false" customHeight="true" outlineLevel="0" collapsed="false">
      <c r="A113" s="3" t="s">
        <v>265</v>
      </c>
      <c r="B113" s="3" t="s">
        <v>266</v>
      </c>
      <c r="C113" s="3" t="s">
        <v>105</v>
      </c>
      <c r="D113" s="3" t="s">
        <v>77</v>
      </c>
      <c r="E113" s="4" t="n">
        <v>45472</v>
      </c>
      <c r="F113" s="5" t="n">
        <v>0.458333333333333</v>
      </c>
      <c r="G113" s="3" t="s">
        <v>21</v>
      </c>
      <c r="H113" s="7" t="n">
        <f aca="false">IFERROR(HOUR(F113),"N/A")</f>
        <v>11</v>
      </c>
      <c r="I113" s="7" t="str">
        <f aca="false">IFERROR(TEXT(E113,"dddd"),"N/A")</f>
        <v>Saturday</v>
      </c>
    </row>
    <row r="114" customFormat="false" ht="14.25" hidden="false" customHeight="true" outlineLevel="0" collapsed="false">
      <c r="A114" s="3" t="s">
        <v>267</v>
      </c>
      <c r="B114" s="3" t="s">
        <v>268</v>
      </c>
      <c r="C114" s="3" t="s">
        <v>20</v>
      </c>
      <c r="D114" s="3" t="s">
        <v>71</v>
      </c>
      <c r="E114" s="4" t="n">
        <v>45303</v>
      </c>
      <c r="F114" s="5" t="n">
        <v>0.75</v>
      </c>
      <c r="G114" s="3" t="s">
        <v>21</v>
      </c>
      <c r="H114" s="7" t="n">
        <f aca="false">IFERROR(HOUR(F114),"N/A")</f>
        <v>18</v>
      </c>
      <c r="I114" s="7" t="str">
        <f aca="false">IFERROR(TEXT(E114,"dddd"),"N/A")</f>
        <v>Friday</v>
      </c>
    </row>
    <row r="115" customFormat="false" ht="14.25" hidden="false" customHeight="true" outlineLevel="0" collapsed="false">
      <c r="A115" s="3" t="s">
        <v>269</v>
      </c>
      <c r="B115" s="3" t="s">
        <v>270</v>
      </c>
      <c r="C115" s="3" t="s">
        <v>154</v>
      </c>
      <c r="D115" s="3" t="s">
        <v>71</v>
      </c>
      <c r="E115" s="4" t="n">
        <v>45486</v>
      </c>
      <c r="F115" s="5" t="n">
        <v>0.333333333333333</v>
      </c>
      <c r="G115" s="3" t="s">
        <v>21</v>
      </c>
      <c r="H115" s="7" t="n">
        <f aca="false">IFERROR(HOUR(F115),"N/A")</f>
        <v>8</v>
      </c>
      <c r="I115" s="7" t="str">
        <f aca="false">IFERROR(TEXT(E115,"dddd"),"N/A")</f>
        <v>Saturday</v>
      </c>
    </row>
    <row r="116" customFormat="false" ht="14.25" hidden="false" customHeight="true" outlineLevel="0" collapsed="false">
      <c r="A116" s="3" t="s">
        <v>271</v>
      </c>
      <c r="B116" s="3" t="s">
        <v>272</v>
      </c>
      <c r="C116" s="3" t="s">
        <v>38</v>
      </c>
      <c r="D116" s="3" t="s">
        <v>29</v>
      </c>
      <c r="E116" s="4" t="n">
        <v>45491</v>
      </c>
      <c r="F116" s="5" t="n">
        <v>0.416666666666667</v>
      </c>
      <c r="G116" s="3" t="s">
        <v>25</v>
      </c>
      <c r="H116" s="7" t="n">
        <f aca="false">IFERROR(HOUR(F116),"N/A")</f>
        <v>10</v>
      </c>
      <c r="I116" s="7" t="str">
        <f aca="false">IFERROR(TEXT(E116,"dddd"),"N/A")</f>
        <v>Thursday</v>
      </c>
    </row>
    <row r="117" customFormat="false" ht="14.25" hidden="false" customHeight="true" outlineLevel="0" collapsed="false">
      <c r="A117" s="3" t="s">
        <v>273</v>
      </c>
      <c r="B117" s="3" t="s">
        <v>274</v>
      </c>
      <c r="C117" s="3" t="s">
        <v>127</v>
      </c>
      <c r="D117" s="3" t="s">
        <v>77</v>
      </c>
      <c r="E117" s="4" t="n">
        <v>45504</v>
      </c>
      <c r="F117" s="5" t="n">
        <v>0.416666666666667</v>
      </c>
      <c r="G117" s="3" t="s">
        <v>30</v>
      </c>
      <c r="H117" s="7" t="n">
        <f aca="false">IFERROR(HOUR(F117),"N/A")</f>
        <v>10</v>
      </c>
      <c r="I117" s="7" t="str">
        <f aca="false">IFERROR(TEXT(E117,"dddd"),"N/A")</f>
        <v>Wednesday</v>
      </c>
    </row>
    <row r="118" customFormat="false" ht="14.25" hidden="false" customHeight="true" outlineLevel="0" collapsed="false">
      <c r="A118" s="3" t="s">
        <v>275</v>
      </c>
      <c r="B118" s="3" t="s">
        <v>276</v>
      </c>
      <c r="C118" s="3" t="s">
        <v>130</v>
      </c>
      <c r="D118" s="3" t="s">
        <v>71</v>
      </c>
      <c r="E118" s="4" t="n">
        <v>45359</v>
      </c>
      <c r="F118" s="5" t="n">
        <v>0.708333333333333</v>
      </c>
      <c r="G118" s="3" t="s">
        <v>17</v>
      </c>
      <c r="H118" s="7" t="n">
        <f aca="false">IFERROR(HOUR(F118),"N/A")</f>
        <v>17</v>
      </c>
      <c r="I118" s="7" t="str">
        <f aca="false">IFERROR(TEXT(E118,"dddd"),"N/A")</f>
        <v>Friday</v>
      </c>
    </row>
    <row r="119" customFormat="false" ht="14.25" hidden="false" customHeight="true" outlineLevel="0" collapsed="false">
      <c r="A119" s="3" t="s">
        <v>277</v>
      </c>
      <c r="B119" s="3" t="s">
        <v>278</v>
      </c>
      <c r="C119" s="3" t="s">
        <v>80</v>
      </c>
      <c r="D119" s="3" t="s">
        <v>16</v>
      </c>
      <c r="E119" s="4" t="n">
        <v>45449</v>
      </c>
      <c r="F119" s="5" t="n">
        <v>0.708333333333333</v>
      </c>
      <c r="G119" s="3" t="s">
        <v>21</v>
      </c>
      <c r="H119" s="7" t="n">
        <f aca="false">IFERROR(HOUR(F119),"N/A")</f>
        <v>17</v>
      </c>
      <c r="I119" s="7" t="str">
        <f aca="false">IFERROR(TEXT(E119,"dddd"),"N/A")</f>
        <v>Thursday</v>
      </c>
    </row>
    <row r="120" customFormat="false" ht="14.25" hidden="false" customHeight="true" outlineLevel="0" collapsed="false">
      <c r="A120" s="3" t="s">
        <v>279</v>
      </c>
      <c r="B120" s="3" t="s">
        <v>280</v>
      </c>
      <c r="C120" s="3" t="s">
        <v>50</v>
      </c>
      <c r="D120" s="3" t="s">
        <v>24</v>
      </c>
      <c r="E120" s="4" t="n">
        <v>45379</v>
      </c>
      <c r="F120" s="5" t="n">
        <v>0.708333333333333</v>
      </c>
      <c r="G120" s="3" t="s">
        <v>21</v>
      </c>
      <c r="H120" s="7" t="n">
        <f aca="false">IFERROR(HOUR(F120),"N/A")</f>
        <v>17</v>
      </c>
      <c r="I120" s="7" t="str">
        <f aca="false">IFERROR(TEXT(E120,"dddd"),"N/A")</f>
        <v>Thursday</v>
      </c>
    </row>
    <row r="121" customFormat="false" ht="14.25" hidden="false" customHeight="true" outlineLevel="0" collapsed="false">
      <c r="A121" s="3" t="s">
        <v>281</v>
      </c>
      <c r="B121" s="3" t="s">
        <v>282</v>
      </c>
      <c r="C121" s="3" t="s">
        <v>100</v>
      </c>
      <c r="D121" s="3" t="s">
        <v>12</v>
      </c>
      <c r="E121" s="4" t="n">
        <v>45482</v>
      </c>
      <c r="F121" s="5" t="n">
        <v>0.479166666666667</v>
      </c>
      <c r="G121" s="3" t="s">
        <v>25</v>
      </c>
      <c r="H121" s="7" t="n">
        <f aca="false">IFERROR(HOUR(F121),"N/A")</f>
        <v>11</v>
      </c>
      <c r="I121" s="7" t="str">
        <f aca="false">IFERROR(TEXT(E121,"dddd"),"N/A")</f>
        <v>Tuesday</v>
      </c>
    </row>
    <row r="122" customFormat="false" ht="14.25" hidden="false" customHeight="true" outlineLevel="0" collapsed="false">
      <c r="A122" s="3" t="s">
        <v>9</v>
      </c>
      <c r="B122" s="3" t="s">
        <v>283</v>
      </c>
      <c r="C122" s="3" t="s">
        <v>95</v>
      </c>
      <c r="D122" s="3" t="s">
        <v>9</v>
      </c>
      <c r="E122" s="4" t="n">
        <v>45538</v>
      </c>
      <c r="F122" s="5" t="s">
        <v>9</v>
      </c>
      <c r="G122" s="3" t="s">
        <v>21</v>
      </c>
      <c r="H122" s="7" t="str">
        <f aca="false">IFERROR(HOUR(F122),"N/A")</f>
        <v>N/A</v>
      </c>
      <c r="I122" s="7" t="str">
        <f aca="false">IFERROR(TEXT(E122,"dddd"),"N/A")</f>
        <v>Tuesday</v>
      </c>
    </row>
    <row r="123" customFormat="false" ht="14.25" hidden="false" customHeight="true" outlineLevel="0" collapsed="false">
      <c r="A123" s="3" t="s">
        <v>284</v>
      </c>
      <c r="B123" s="3" t="s">
        <v>285</v>
      </c>
      <c r="C123" s="3" t="s">
        <v>100</v>
      </c>
      <c r="D123" s="3" t="s">
        <v>24</v>
      </c>
      <c r="E123" s="4" t="n">
        <v>45545</v>
      </c>
      <c r="F123" s="5" t="n">
        <v>0.5</v>
      </c>
      <c r="G123" s="3" t="s">
        <v>21</v>
      </c>
      <c r="H123" s="7" t="n">
        <f aca="false">IFERROR(HOUR(F123),"N/A")</f>
        <v>12</v>
      </c>
      <c r="I123" s="7" t="str">
        <f aca="false">IFERROR(TEXT(E123,"dddd"),"N/A")</f>
        <v>Tuesday</v>
      </c>
    </row>
    <row r="124" customFormat="false" ht="14.25" hidden="false" customHeight="true" outlineLevel="0" collapsed="false">
      <c r="A124" s="3" t="s">
        <v>286</v>
      </c>
      <c r="B124" s="3" t="s">
        <v>287</v>
      </c>
      <c r="C124" s="3" t="s">
        <v>11</v>
      </c>
      <c r="D124" s="3" t="s">
        <v>12</v>
      </c>
      <c r="E124" s="4" t="n">
        <v>45515</v>
      </c>
      <c r="F124" s="5" t="n">
        <v>0.645833333333333</v>
      </c>
      <c r="G124" s="3" t="s">
        <v>25</v>
      </c>
      <c r="H124" s="7" t="n">
        <f aca="false">IFERROR(HOUR(F124),"N/A")</f>
        <v>15</v>
      </c>
      <c r="I124" s="7" t="str">
        <f aca="false">IFERROR(TEXT(E124,"dddd"),"N/A")</f>
        <v>Sunday</v>
      </c>
    </row>
    <row r="125" customFormat="false" ht="14.25" hidden="false" customHeight="true" outlineLevel="0" collapsed="false">
      <c r="A125" s="3" t="s">
        <v>288</v>
      </c>
      <c r="B125" s="3" t="s">
        <v>289</v>
      </c>
      <c r="C125" s="3" t="s">
        <v>95</v>
      </c>
      <c r="D125" s="3" t="s">
        <v>16</v>
      </c>
      <c r="E125" s="4" t="n">
        <v>45423</v>
      </c>
      <c r="F125" s="5" t="n">
        <v>0.583333333333333</v>
      </c>
      <c r="G125" s="3" t="s">
        <v>21</v>
      </c>
      <c r="H125" s="7" t="n">
        <f aca="false">IFERROR(HOUR(F125),"N/A")</f>
        <v>14</v>
      </c>
      <c r="I125" s="7" t="str">
        <f aca="false">IFERROR(TEXT(E125,"dddd"),"N/A")</f>
        <v>Saturday</v>
      </c>
    </row>
    <row r="126" customFormat="false" ht="14.25" hidden="false" customHeight="true" outlineLevel="0" collapsed="false">
      <c r="A126" s="3" t="s">
        <v>290</v>
      </c>
      <c r="B126" s="3" t="s">
        <v>291</v>
      </c>
      <c r="C126" s="3" t="s">
        <v>74</v>
      </c>
      <c r="D126" s="3" t="s">
        <v>77</v>
      </c>
      <c r="E126" s="4" t="n">
        <v>45582</v>
      </c>
      <c r="F126" s="5" t="n">
        <v>0.5625</v>
      </c>
      <c r="G126" s="3" t="s">
        <v>21</v>
      </c>
      <c r="H126" s="7" t="n">
        <f aca="false">IFERROR(HOUR(F126),"N/A")</f>
        <v>13</v>
      </c>
      <c r="I126" s="7" t="str">
        <f aca="false">IFERROR(TEXT(E126,"dddd"),"N/A")</f>
        <v>Thursday</v>
      </c>
    </row>
    <row r="127" customFormat="false" ht="14.25" hidden="false" customHeight="true" outlineLevel="0" collapsed="false">
      <c r="A127" s="3" t="s">
        <v>292</v>
      </c>
      <c r="B127" s="3" t="s">
        <v>293</v>
      </c>
      <c r="C127" s="3" t="s">
        <v>28</v>
      </c>
      <c r="D127" s="3" t="s">
        <v>16</v>
      </c>
      <c r="E127" s="4" t="n">
        <v>45543</v>
      </c>
      <c r="F127" s="5" t="n">
        <v>0.708333333333333</v>
      </c>
      <c r="G127" s="3" t="s">
        <v>21</v>
      </c>
      <c r="H127" s="7" t="n">
        <f aca="false">IFERROR(HOUR(F127),"N/A")</f>
        <v>17</v>
      </c>
      <c r="I127" s="7" t="str">
        <f aca="false">IFERROR(TEXT(E127,"dddd"),"N/A")</f>
        <v>Sunday</v>
      </c>
    </row>
    <row r="128" customFormat="false" ht="14.25" hidden="false" customHeight="true" outlineLevel="0" collapsed="false">
      <c r="A128" s="3" t="s">
        <v>294</v>
      </c>
      <c r="B128" s="3" t="s">
        <v>295</v>
      </c>
      <c r="C128" s="3" t="s">
        <v>105</v>
      </c>
      <c r="D128" s="3" t="s">
        <v>12</v>
      </c>
      <c r="E128" s="4" t="n">
        <v>45324</v>
      </c>
      <c r="F128" s="5" t="n">
        <v>0.625</v>
      </c>
      <c r="G128" s="3" t="s">
        <v>25</v>
      </c>
      <c r="H128" s="7" t="n">
        <f aca="false">IFERROR(HOUR(F128),"N/A")</f>
        <v>15</v>
      </c>
      <c r="I128" s="7" t="str">
        <f aca="false">IFERROR(TEXT(E128,"dddd"),"N/A")</f>
        <v>Friday</v>
      </c>
    </row>
    <row r="129" customFormat="false" ht="14.25" hidden="false" customHeight="true" outlineLevel="0" collapsed="false">
      <c r="A129" s="3" t="s">
        <v>296</v>
      </c>
      <c r="B129" s="3" t="s">
        <v>297</v>
      </c>
      <c r="C129" s="3" t="s">
        <v>35</v>
      </c>
      <c r="D129" s="3" t="s">
        <v>77</v>
      </c>
      <c r="E129" s="4" t="n">
        <v>45627</v>
      </c>
      <c r="F129" s="5" t="n">
        <v>0.645833333333333</v>
      </c>
      <c r="G129" s="3" t="s">
        <v>30</v>
      </c>
      <c r="H129" s="7" t="n">
        <f aca="false">IFERROR(HOUR(F129),"N/A")</f>
        <v>15</v>
      </c>
      <c r="I129" s="7" t="str">
        <f aca="false">IFERROR(TEXT(E129,"dddd"),"N/A")</f>
        <v>Sunday</v>
      </c>
    </row>
    <row r="130" customFormat="false" ht="14.25" hidden="false" customHeight="true" outlineLevel="0" collapsed="false">
      <c r="A130" s="3" t="s">
        <v>298</v>
      </c>
      <c r="B130" s="3" t="s">
        <v>299</v>
      </c>
      <c r="C130" s="3" t="s">
        <v>90</v>
      </c>
      <c r="D130" s="3" t="s">
        <v>29</v>
      </c>
      <c r="E130" s="4" t="n">
        <v>45568</v>
      </c>
      <c r="F130" s="5" t="n">
        <v>0.375</v>
      </c>
      <c r="G130" s="3" t="s">
        <v>21</v>
      </c>
      <c r="H130" s="7" t="n">
        <f aca="false">IFERROR(HOUR(F130),"N/A")</f>
        <v>9</v>
      </c>
      <c r="I130" s="7" t="str">
        <f aca="false">IFERROR(TEXT(E130,"dddd"),"N/A")</f>
        <v>Thursday</v>
      </c>
    </row>
    <row r="131" customFormat="false" ht="14.25" hidden="false" customHeight="true" outlineLevel="0" collapsed="false">
      <c r="A131" s="3" t="s">
        <v>300</v>
      </c>
      <c r="B131" s="3" t="s">
        <v>301</v>
      </c>
      <c r="C131" s="3" t="s">
        <v>80</v>
      </c>
      <c r="D131" s="3" t="s">
        <v>71</v>
      </c>
      <c r="E131" s="4" t="n">
        <v>45535</v>
      </c>
      <c r="F131" s="5" t="n">
        <v>0.458333333333333</v>
      </c>
      <c r="G131" s="3" t="s">
        <v>30</v>
      </c>
      <c r="H131" s="7" t="n">
        <f aca="false">IFERROR(HOUR(F131),"N/A")</f>
        <v>11</v>
      </c>
      <c r="I131" s="7" t="str">
        <f aca="false">IFERROR(TEXT(E131,"dddd"),"N/A")</f>
        <v>Saturday</v>
      </c>
    </row>
    <row r="132" customFormat="false" ht="14.25" hidden="false" customHeight="true" outlineLevel="0" collapsed="false">
      <c r="A132" s="3" t="s">
        <v>302</v>
      </c>
      <c r="B132" s="3" t="s">
        <v>303</v>
      </c>
      <c r="C132" s="3" t="s">
        <v>35</v>
      </c>
      <c r="D132" s="3" t="s">
        <v>16</v>
      </c>
      <c r="E132" s="4" t="n">
        <v>45537</v>
      </c>
      <c r="F132" s="5" t="n">
        <v>0.520833333333333</v>
      </c>
      <c r="G132" s="3" t="s">
        <v>21</v>
      </c>
      <c r="H132" s="7" t="n">
        <f aca="false">IFERROR(HOUR(F132),"N/A")</f>
        <v>12</v>
      </c>
      <c r="I132" s="7" t="str">
        <f aca="false">IFERROR(TEXT(E132,"dddd"),"N/A")</f>
        <v>Monday</v>
      </c>
    </row>
    <row r="133" customFormat="false" ht="14.25" hidden="false" customHeight="true" outlineLevel="0" collapsed="false">
      <c r="A133" s="3" t="s">
        <v>304</v>
      </c>
      <c r="B133" s="3" t="s">
        <v>305</v>
      </c>
      <c r="C133" s="3" t="s">
        <v>28</v>
      </c>
      <c r="D133" s="3" t="s">
        <v>12</v>
      </c>
      <c r="E133" s="4" t="n">
        <v>45492</v>
      </c>
      <c r="F133" s="5" t="n">
        <v>0.729166666666667</v>
      </c>
      <c r="G133" s="3" t="s">
        <v>30</v>
      </c>
      <c r="H133" s="7" t="n">
        <f aca="false">IFERROR(HOUR(F133),"N/A")</f>
        <v>17</v>
      </c>
      <c r="I133" s="7" t="str">
        <f aca="false">IFERROR(TEXT(E133,"dddd"),"N/A")</f>
        <v>Friday</v>
      </c>
    </row>
    <row r="134" customFormat="false" ht="14.25" hidden="false" customHeight="true" outlineLevel="0" collapsed="false">
      <c r="A134" s="3" t="s">
        <v>306</v>
      </c>
      <c r="B134" s="3" t="s">
        <v>307</v>
      </c>
      <c r="C134" s="3" t="s">
        <v>179</v>
      </c>
      <c r="D134" s="3" t="s">
        <v>71</v>
      </c>
      <c r="E134" s="4" t="n">
        <v>45558</v>
      </c>
      <c r="F134" s="5" t="n">
        <v>0.416666666666667</v>
      </c>
      <c r="G134" s="3" t="s">
        <v>21</v>
      </c>
      <c r="H134" s="7" t="n">
        <f aca="false">IFERROR(HOUR(F134),"N/A")</f>
        <v>10</v>
      </c>
      <c r="I134" s="7" t="str">
        <f aca="false">IFERROR(TEXT(E134,"dddd"),"N/A")</f>
        <v>Monday</v>
      </c>
    </row>
    <row r="135" customFormat="false" ht="14.25" hidden="false" customHeight="true" outlineLevel="0" collapsed="false">
      <c r="A135" s="3" t="s">
        <v>308</v>
      </c>
      <c r="B135" s="3" t="s">
        <v>309</v>
      </c>
      <c r="C135" s="3" t="s">
        <v>90</v>
      </c>
      <c r="D135" s="3" t="s">
        <v>12</v>
      </c>
      <c r="E135" s="4" t="n">
        <v>45502</v>
      </c>
      <c r="F135" s="5" t="n">
        <v>0.541666666666667</v>
      </c>
      <c r="G135" s="3" t="s">
        <v>17</v>
      </c>
      <c r="H135" s="7" t="n">
        <f aca="false">IFERROR(HOUR(F135),"N/A")</f>
        <v>13</v>
      </c>
      <c r="I135" s="7" t="str">
        <f aca="false">IFERROR(TEXT(E135,"dddd"),"N/A")</f>
        <v>Monday</v>
      </c>
    </row>
    <row r="136" customFormat="false" ht="14.25" hidden="false" customHeight="true" outlineLevel="0" collapsed="false">
      <c r="A136" s="3" t="s">
        <v>310</v>
      </c>
      <c r="B136" s="3" t="s">
        <v>311</v>
      </c>
      <c r="C136" s="3" t="s">
        <v>11</v>
      </c>
      <c r="D136" s="3" t="s">
        <v>12</v>
      </c>
      <c r="E136" s="4" t="n">
        <v>45367</v>
      </c>
      <c r="F136" s="5" t="n">
        <v>0.729166666666667</v>
      </c>
      <c r="G136" s="3" t="s">
        <v>21</v>
      </c>
      <c r="H136" s="7" t="n">
        <f aca="false">IFERROR(HOUR(F136),"N/A")</f>
        <v>17</v>
      </c>
      <c r="I136" s="7" t="str">
        <f aca="false">IFERROR(TEXT(E136,"dddd"),"N/A")</f>
        <v>Saturday</v>
      </c>
    </row>
    <row r="137" customFormat="false" ht="14.25" hidden="false" customHeight="true" outlineLevel="0" collapsed="false">
      <c r="A137" s="3" t="s">
        <v>312</v>
      </c>
      <c r="B137" s="3" t="s">
        <v>313</v>
      </c>
      <c r="C137" s="3" t="s">
        <v>82</v>
      </c>
      <c r="D137" s="3" t="s">
        <v>12</v>
      </c>
      <c r="E137" s="4" t="n">
        <v>45634</v>
      </c>
      <c r="F137" s="5" t="n">
        <v>0.604166666666667</v>
      </c>
      <c r="G137" s="3" t="s">
        <v>21</v>
      </c>
      <c r="H137" s="7" t="n">
        <f aca="false">IFERROR(HOUR(F137),"N/A")</f>
        <v>14</v>
      </c>
      <c r="I137" s="7" t="str">
        <f aca="false">IFERROR(TEXT(E137,"dddd"),"N/A")</f>
        <v>Sunday</v>
      </c>
    </row>
    <row r="138" customFormat="false" ht="14.25" hidden="false" customHeight="true" outlineLevel="0" collapsed="false">
      <c r="A138" s="3" t="s">
        <v>314</v>
      </c>
      <c r="B138" s="3" t="s">
        <v>315</v>
      </c>
      <c r="C138" s="3" t="s">
        <v>56</v>
      </c>
      <c r="D138" s="3" t="s">
        <v>12</v>
      </c>
      <c r="E138" s="4" t="n">
        <v>45465</v>
      </c>
      <c r="F138" s="5" t="n">
        <v>0.458333333333333</v>
      </c>
      <c r="G138" s="3" t="s">
        <v>21</v>
      </c>
      <c r="H138" s="7" t="n">
        <f aca="false">IFERROR(HOUR(F138),"N/A")</f>
        <v>11</v>
      </c>
      <c r="I138" s="7" t="str">
        <f aca="false">IFERROR(TEXT(E138,"dddd"),"N/A")</f>
        <v>Saturday</v>
      </c>
    </row>
    <row r="139" customFormat="false" ht="14.25" hidden="false" customHeight="true" outlineLevel="0" collapsed="false">
      <c r="A139" s="3" t="s">
        <v>316</v>
      </c>
      <c r="B139" s="3" t="s">
        <v>317</v>
      </c>
      <c r="C139" s="3" t="s">
        <v>56</v>
      </c>
      <c r="D139" s="3" t="s">
        <v>16</v>
      </c>
      <c r="E139" s="4" t="n">
        <v>45443</v>
      </c>
      <c r="F139" s="5" t="n">
        <v>0.770833333333333</v>
      </c>
      <c r="G139" s="3" t="s">
        <v>25</v>
      </c>
      <c r="H139" s="7" t="n">
        <f aca="false">IFERROR(HOUR(F139),"N/A")</f>
        <v>18</v>
      </c>
      <c r="I139" s="7" t="str">
        <f aca="false">IFERROR(TEXT(E139,"dddd"),"N/A")</f>
        <v>Friday</v>
      </c>
    </row>
    <row r="140" customFormat="false" ht="14.25" hidden="false" customHeight="true" outlineLevel="0" collapsed="false">
      <c r="A140" s="3" t="s">
        <v>318</v>
      </c>
      <c r="B140" s="3" t="s">
        <v>319</v>
      </c>
      <c r="C140" s="3" t="s">
        <v>28</v>
      </c>
      <c r="D140" s="3" t="s">
        <v>29</v>
      </c>
      <c r="E140" s="4" t="n">
        <v>45443</v>
      </c>
      <c r="F140" s="5" t="n">
        <v>0.729166666666667</v>
      </c>
      <c r="G140" s="3" t="s">
        <v>30</v>
      </c>
      <c r="H140" s="7" t="n">
        <f aca="false">IFERROR(HOUR(F140),"N/A")</f>
        <v>17</v>
      </c>
      <c r="I140" s="7" t="str">
        <f aca="false">IFERROR(TEXT(E140,"dddd"),"N/A")</f>
        <v>Friday</v>
      </c>
    </row>
    <row r="141" customFormat="false" ht="14.25" hidden="false" customHeight="true" outlineLevel="0" collapsed="false">
      <c r="A141" s="3" t="s">
        <v>320</v>
      </c>
      <c r="B141" s="3" t="s">
        <v>321</v>
      </c>
      <c r="C141" s="3" t="s">
        <v>41</v>
      </c>
      <c r="D141" s="3" t="s">
        <v>29</v>
      </c>
      <c r="E141" s="4" t="n">
        <v>45318</v>
      </c>
      <c r="F141" s="5" t="n">
        <v>0.416666666666667</v>
      </c>
      <c r="G141" s="3" t="s">
        <v>30</v>
      </c>
      <c r="H141" s="7" t="n">
        <f aca="false">IFERROR(HOUR(F141),"N/A")</f>
        <v>10</v>
      </c>
      <c r="I141" s="7" t="str">
        <f aca="false">IFERROR(TEXT(E141,"dddd"),"N/A")</f>
        <v>Saturday</v>
      </c>
    </row>
    <row r="142" customFormat="false" ht="14.25" hidden="false" customHeight="true" outlineLevel="0" collapsed="false">
      <c r="A142" s="3" t="s">
        <v>322</v>
      </c>
      <c r="B142" s="3" t="s">
        <v>323</v>
      </c>
      <c r="C142" s="3" t="s">
        <v>44</v>
      </c>
      <c r="D142" s="3" t="s">
        <v>77</v>
      </c>
      <c r="E142" s="4" t="n">
        <v>45305</v>
      </c>
      <c r="F142" s="5" t="n">
        <v>0.5</v>
      </c>
      <c r="G142" s="3" t="s">
        <v>21</v>
      </c>
      <c r="H142" s="7" t="n">
        <f aca="false">IFERROR(HOUR(F142),"N/A")</f>
        <v>12</v>
      </c>
      <c r="I142" s="7" t="str">
        <f aca="false">IFERROR(TEXT(E142,"dddd"),"N/A")</f>
        <v>Sunday</v>
      </c>
    </row>
    <row r="143" customFormat="false" ht="14.25" hidden="false" customHeight="true" outlineLevel="0" collapsed="false">
      <c r="A143" s="3" t="s">
        <v>324</v>
      </c>
      <c r="B143" s="3" t="s">
        <v>325</v>
      </c>
      <c r="C143" s="3" t="s">
        <v>44</v>
      </c>
      <c r="D143" s="3" t="s">
        <v>29</v>
      </c>
      <c r="E143" s="4" t="n">
        <v>45574</v>
      </c>
      <c r="F143" s="5" t="n">
        <v>0.479166666666667</v>
      </c>
      <c r="G143" s="3" t="s">
        <v>17</v>
      </c>
      <c r="H143" s="7" t="n">
        <f aca="false">IFERROR(HOUR(F143),"N/A")</f>
        <v>11</v>
      </c>
      <c r="I143" s="7" t="str">
        <f aca="false">IFERROR(TEXT(E143,"dddd"),"N/A")</f>
        <v>Wednesday</v>
      </c>
    </row>
    <row r="144" customFormat="false" ht="14.25" hidden="false" customHeight="true" outlineLevel="0" collapsed="false">
      <c r="A144" s="3" t="s">
        <v>326</v>
      </c>
      <c r="B144" s="3" t="s">
        <v>327</v>
      </c>
      <c r="C144" s="3" t="s">
        <v>127</v>
      </c>
      <c r="D144" s="3" t="s">
        <v>16</v>
      </c>
      <c r="E144" s="4" t="n">
        <v>45406</v>
      </c>
      <c r="F144" s="5" t="n">
        <v>0.770833333333333</v>
      </c>
      <c r="G144" s="3" t="s">
        <v>25</v>
      </c>
      <c r="H144" s="7" t="n">
        <f aca="false">IFERROR(HOUR(F144),"N/A")</f>
        <v>18</v>
      </c>
      <c r="I144" s="7" t="str">
        <f aca="false">IFERROR(TEXT(E144,"dddd"),"N/A")</f>
        <v>Wednesday</v>
      </c>
    </row>
    <row r="145" customFormat="false" ht="14.25" hidden="false" customHeight="true" outlineLevel="0" collapsed="false">
      <c r="A145" s="3" t="s">
        <v>328</v>
      </c>
      <c r="B145" s="3" t="s">
        <v>329</v>
      </c>
      <c r="C145" s="3" t="s">
        <v>67</v>
      </c>
      <c r="D145" s="3" t="s">
        <v>16</v>
      </c>
      <c r="E145" s="4" t="n">
        <v>45519</v>
      </c>
      <c r="F145" s="5" t="n">
        <v>0.375</v>
      </c>
      <c r="G145" s="3" t="s">
        <v>21</v>
      </c>
      <c r="H145" s="7" t="n">
        <f aca="false">IFERROR(HOUR(F145),"N/A")</f>
        <v>9</v>
      </c>
      <c r="I145" s="7" t="str">
        <f aca="false">IFERROR(TEXT(E145,"dddd"),"N/A")</f>
        <v>Thursday</v>
      </c>
    </row>
    <row r="146" customFormat="false" ht="14.25" hidden="false" customHeight="true" outlineLevel="0" collapsed="false">
      <c r="A146" s="3" t="s">
        <v>330</v>
      </c>
      <c r="B146" s="3" t="s">
        <v>331</v>
      </c>
      <c r="C146" s="3" t="s">
        <v>44</v>
      </c>
      <c r="D146" s="3" t="s">
        <v>24</v>
      </c>
      <c r="E146" s="4" t="n">
        <v>45373</v>
      </c>
      <c r="F146" s="5" t="n">
        <v>0.708333333333333</v>
      </c>
      <c r="G146" s="3" t="s">
        <v>17</v>
      </c>
      <c r="H146" s="7" t="n">
        <f aca="false">IFERROR(HOUR(F146),"N/A")</f>
        <v>17</v>
      </c>
      <c r="I146" s="7" t="str">
        <f aca="false">IFERROR(TEXT(E146,"dddd"),"N/A")</f>
        <v>Friday</v>
      </c>
    </row>
    <row r="147" customFormat="false" ht="14.25" hidden="false" customHeight="true" outlineLevel="0" collapsed="false">
      <c r="A147" s="3" t="s">
        <v>332</v>
      </c>
      <c r="B147" s="3" t="s">
        <v>333</v>
      </c>
      <c r="C147" s="3" t="s">
        <v>210</v>
      </c>
      <c r="D147" s="3" t="s">
        <v>29</v>
      </c>
      <c r="E147" s="4" t="n">
        <v>45613</v>
      </c>
      <c r="F147" s="5" t="n">
        <v>0.5625</v>
      </c>
      <c r="G147" s="3" t="s">
        <v>17</v>
      </c>
      <c r="H147" s="7" t="n">
        <f aca="false">IFERROR(HOUR(F147),"N/A")</f>
        <v>13</v>
      </c>
      <c r="I147" s="7" t="str">
        <f aca="false">IFERROR(TEXT(E147,"dddd"),"N/A")</f>
        <v>Sunday</v>
      </c>
    </row>
    <row r="148" customFormat="false" ht="14.25" hidden="false" customHeight="true" outlineLevel="0" collapsed="false">
      <c r="A148" s="3" t="s">
        <v>334</v>
      </c>
      <c r="B148" s="3" t="s">
        <v>335</v>
      </c>
      <c r="C148" s="3" t="s">
        <v>82</v>
      </c>
      <c r="D148" s="3" t="s">
        <v>77</v>
      </c>
      <c r="E148" s="4" t="n">
        <v>45335</v>
      </c>
      <c r="F148" s="5" t="n">
        <v>0.354166666666667</v>
      </c>
      <c r="G148" s="3" t="s">
        <v>17</v>
      </c>
      <c r="H148" s="7" t="n">
        <f aca="false">IFERROR(HOUR(F148),"N/A")</f>
        <v>8</v>
      </c>
      <c r="I148" s="7" t="str">
        <f aca="false">IFERROR(TEXT(E148,"dddd"),"N/A")</f>
        <v>Tuesday</v>
      </c>
    </row>
    <row r="149" customFormat="false" ht="14.25" hidden="false" customHeight="true" outlineLevel="0" collapsed="false">
      <c r="A149" s="3" t="s">
        <v>336</v>
      </c>
      <c r="B149" s="3" t="s">
        <v>337</v>
      </c>
      <c r="C149" s="3" t="s">
        <v>50</v>
      </c>
      <c r="D149" s="3" t="s">
        <v>12</v>
      </c>
      <c r="E149" s="4" t="n">
        <v>45448</v>
      </c>
      <c r="F149" s="5" t="n">
        <v>0.520833333333333</v>
      </c>
      <c r="G149" s="3" t="s">
        <v>21</v>
      </c>
      <c r="H149" s="7" t="n">
        <f aca="false">IFERROR(HOUR(F149),"N/A")</f>
        <v>12</v>
      </c>
      <c r="I149" s="7" t="str">
        <f aca="false">IFERROR(TEXT(E149,"dddd"),"N/A")</f>
        <v>Wednesday</v>
      </c>
    </row>
    <row r="150" customFormat="false" ht="14.25" hidden="false" customHeight="true" outlineLevel="0" collapsed="false">
      <c r="A150" s="3" t="s">
        <v>338</v>
      </c>
      <c r="B150" s="3" t="s">
        <v>339</v>
      </c>
      <c r="C150" s="3" t="s">
        <v>124</v>
      </c>
      <c r="D150" s="3" t="s">
        <v>12</v>
      </c>
      <c r="E150" s="4" t="n">
        <v>45616</v>
      </c>
      <c r="F150" s="5" t="n">
        <v>0.583333333333333</v>
      </c>
      <c r="G150" s="3" t="s">
        <v>30</v>
      </c>
      <c r="H150" s="7" t="n">
        <f aca="false">IFERROR(HOUR(F150),"N/A")</f>
        <v>14</v>
      </c>
      <c r="I150" s="7" t="str">
        <f aca="false">IFERROR(TEXT(E150,"dddd"),"N/A")</f>
        <v>Wednesday</v>
      </c>
    </row>
    <row r="151" customFormat="false" ht="14.25" hidden="false" customHeight="true" outlineLevel="0" collapsed="false">
      <c r="A151" s="3" t="s">
        <v>9</v>
      </c>
      <c r="B151" s="3" t="s">
        <v>340</v>
      </c>
      <c r="C151" s="3" t="s">
        <v>50</v>
      </c>
      <c r="D151" s="3" t="s">
        <v>29</v>
      </c>
      <c r="E151" s="4" t="n">
        <v>45292</v>
      </c>
      <c r="F151" s="5" t="s">
        <v>9</v>
      </c>
      <c r="G151" s="3" t="s">
        <v>9</v>
      </c>
      <c r="H151" s="7" t="str">
        <f aca="false">IFERROR(HOUR(F151),"N/A")</f>
        <v>N/A</v>
      </c>
      <c r="I151" s="7" t="str">
        <f aca="false">IFERROR(TEXT(E151,"dddd"),"N/A")</f>
        <v>Monday</v>
      </c>
    </row>
    <row r="152" customFormat="false" ht="14.25" hidden="false" customHeight="true" outlineLevel="0" collapsed="false">
      <c r="A152" s="3" t="s">
        <v>341</v>
      </c>
      <c r="B152" s="3" t="s">
        <v>342</v>
      </c>
      <c r="C152" s="3" t="s">
        <v>127</v>
      </c>
      <c r="D152" s="3" t="s">
        <v>16</v>
      </c>
      <c r="E152" s="4" t="n">
        <v>45594</v>
      </c>
      <c r="F152" s="5" t="n">
        <v>0.645833333333333</v>
      </c>
      <c r="G152" s="3" t="s">
        <v>17</v>
      </c>
      <c r="H152" s="7" t="n">
        <f aca="false">IFERROR(HOUR(F152),"N/A")</f>
        <v>15</v>
      </c>
      <c r="I152" s="7" t="str">
        <f aca="false">IFERROR(TEXT(E152,"dddd"),"N/A")</f>
        <v>Tuesday</v>
      </c>
    </row>
    <row r="153" customFormat="false" ht="14.25" hidden="false" customHeight="true" outlineLevel="0" collapsed="false">
      <c r="A153" s="3" t="s">
        <v>343</v>
      </c>
      <c r="B153" s="3" t="s">
        <v>344</v>
      </c>
      <c r="C153" s="3" t="s">
        <v>87</v>
      </c>
      <c r="D153" s="3" t="s">
        <v>29</v>
      </c>
      <c r="E153" s="4" t="n">
        <v>45619</v>
      </c>
      <c r="F153" s="5" t="n">
        <v>0.541666666666667</v>
      </c>
      <c r="G153" s="3" t="s">
        <v>17</v>
      </c>
      <c r="H153" s="7" t="n">
        <f aca="false">IFERROR(HOUR(F153),"N/A")</f>
        <v>13</v>
      </c>
      <c r="I153" s="7" t="str">
        <f aca="false">IFERROR(TEXT(E153,"dddd"),"N/A")</f>
        <v>Saturday</v>
      </c>
    </row>
    <row r="154" customFormat="false" ht="14.25" hidden="false" customHeight="true" outlineLevel="0" collapsed="false">
      <c r="A154" s="3" t="s">
        <v>345</v>
      </c>
      <c r="B154" s="3" t="s">
        <v>346</v>
      </c>
      <c r="C154" s="3" t="s">
        <v>137</v>
      </c>
      <c r="D154" s="3" t="s">
        <v>29</v>
      </c>
      <c r="E154" s="4" t="n">
        <v>45348</v>
      </c>
      <c r="F154" s="5" t="n">
        <v>0.4375</v>
      </c>
      <c r="G154" s="3" t="s">
        <v>25</v>
      </c>
      <c r="H154" s="7" t="n">
        <f aca="false">IFERROR(HOUR(F154),"N/A")</f>
        <v>10</v>
      </c>
      <c r="I154" s="7" t="str">
        <f aca="false">IFERROR(TEXT(E154,"dddd"),"N/A")</f>
        <v>Monday</v>
      </c>
    </row>
    <row r="155" customFormat="false" ht="14.25" hidden="false" customHeight="true" outlineLevel="0" collapsed="false">
      <c r="A155" s="3" t="s">
        <v>347</v>
      </c>
      <c r="B155" s="3" t="s">
        <v>348</v>
      </c>
      <c r="C155" s="3" t="s">
        <v>15</v>
      </c>
      <c r="D155" s="3" t="s">
        <v>24</v>
      </c>
      <c r="E155" s="4" t="n">
        <v>45504</v>
      </c>
      <c r="F155" s="5" t="n">
        <v>0.5</v>
      </c>
      <c r="G155" s="3" t="s">
        <v>17</v>
      </c>
      <c r="H155" s="7" t="n">
        <f aca="false">IFERROR(HOUR(F155),"N/A")</f>
        <v>12</v>
      </c>
      <c r="I155" s="7" t="str">
        <f aca="false">IFERROR(TEXT(E155,"dddd"),"N/A")</f>
        <v>Wednesday</v>
      </c>
    </row>
    <row r="156" customFormat="false" ht="14.25" hidden="false" customHeight="true" outlineLevel="0" collapsed="false">
      <c r="A156" s="3" t="s">
        <v>349</v>
      </c>
      <c r="B156" s="3" t="s">
        <v>350</v>
      </c>
      <c r="C156" s="3" t="s">
        <v>210</v>
      </c>
      <c r="D156" s="3" t="s">
        <v>12</v>
      </c>
      <c r="E156" s="4" t="n">
        <v>45558</v>
      </c>
      <c r="F156" s="5" t="n">
        <v>0.5</v>
      </c>
      <c r="G156" s="3" t="s">
        <v>21</v>
      </c>
      <c r="H156" s="7" t="n">
        <f aca="false">IFERROR(HOUR(F156),"N/A")</f>
        <v>12</v>
      </c>
      <c r="I156" s="7" t="str">
        <f aca="false">IFERROR(TEXT(E156,"dddd"),"N/A")</f>
        <v>Monday</v>
      </c>
    </row>
    <row r="157" customFormat="false" ht="14.25" hidden="false" customHeight="true" outlineLevel="0" collapsed="false">
      <c r="A157" s="3" t="s">
        <v>351</v>
      </c>
      <c r="B157" s="3" t="s">
        <v>352</v>
      </c>
      <c r="C157" s="3" t="s">
        <v>179</v>
      </c>
      <c r="D157" s="3" t="s">
        <v>71</v>
      </c>
      <c r="E157" s="4" t="n">
        <v>45325</v>
      </c>
      <c r="F157" s="5" t="n">
        <v>0.395833333333333</v>
      </c>
      <c r="G157" s="3" t="s">
        <v>21</v>
      </c>
      <c r="H157" s="7" t="n">
        <f aca="false">IFERROR(HOUR(F157),"N/A")</f>
        <v>9</v>
      </c>
      <c r="I157" s="7" t="str">
        <f aca="false">IFERROR(TEXT(E157,"dddd"),"N/A")</f>
        <v>Saturday</v>
      </c>
    </row>
    <row r="158" customFormat="false" ht="14.25" hidden="false" customHeight="true" outlineLevel="0" collapsed="false">
      <c r="A158" s="3" t="s">
        <v>353</v>
      </c>
      <c r="B158" s="3" t="s">
        <v>354</v>
      </c>
      <c r="C158" s="3" t="s">
        <v>70</v>
      </c>
      <c r="D158" s="3" t="s">
        <v>29</v>
      </c>
      <c r="E158" s="4" t="n">
        <v>45387</v>
      </c>
      <c r="F158" s="5" t="n">
        <v>0.75</v>
      </c>
      <c r="G158" s="3" t="s">
        <v>21</v>
      </c>
      <c r="H158" s="7" t="n">
        <f aca="false">IFERROR(HOUR(F158),"N/A")</f>
        <v>18</v>
      </c>
      <c r="I158" s="7" t="str">
        <f aca="false">IFERROR(TEXT(E158,"dddd"),"N/A")</f>
        <v>Friday</v>
      </c>
    </row>
    <row r="159" customFormat="false" ht="14.25" hidden="false" customHeight="true" outlineLevel="0" collapsed="false">
      <c r="A159" s="3" t="s">
        <v>355</v>
      </c>
      <c r="B159" s="3" t="s">
        <v>356</v>
      </c>
      <c r="C159" s="3" t="s">
        <v>240</v>
      </c>
      <c r="D159" s="3" t="s">
        <v>24</v>
      </c>
      <c r="E159" s="4" t="n">
        <v>45341</v>
      </c>
      <c r="F159" s="5" t="n">
        <v>0.333333333333333</v>
      </c>
      <c r="G159" s="3" t="s">
        <v>21</v>
      </c>
      <c r="H159" s="7" t="n">
        <f aca="false">IFERROR(HOUR(F159),"N/A")</f>
        <v>8</v>
      </c>
      <c r="I159" s="7" t="str">
        <f aca="false">IFERROR(TEXT(E159,"dddd"),"N/A")</f>
        <v>Monday</v>
      </c>
    </row>
    <row r="160" customFormat="false" ht="14.25" hidden="false" customHeight="true" outlineLevel="0" collapsed="false">
      <c r="A160" s="3" t="s">
        <v>357</v>
      </c>
      <c r="B160" s="3" t="s">
        <v>358</v>
      </c>
      <c r="C160" s="3" t="s">
        <v>124</v>
      </c>
      <c r="D160" s="3" t="s">
        <v>29</v>
      </c>
      <c r="E160" s="4" t="n">
        <v>45565</v>
      </c>
      <c r="F160" s="5" t="n">
        <v>0.583333333333333</v>
      </c>
      <c r="G160" s="3" t="s">
        <v>17</v>
      </c>
      <c r="H160" s="7" t="n">
        <f aca="false">IFERROR(HOUR(F160),"N/A")</f>
        <v>14</v>
      </c>
      <c r="I160" s="7" t="str">
        <f aca="false">IFERROR(TEXT(E160,"dddd"),"N/A")</f>
        <v>Monday</v>
      </c>
    </row>
    <row r="161" customFormat="false" ht="14.25" hidden="false" customHeight="true" outlineLevel="0" collapsed="false">
      <c r="A161" s="3" t="s">
        <v>359</v>
      </c>
      <c r="B161" s="3" t="s">
        <v>360</v>
      </c>
      <c r="C161" s="3" t="s">
        <v>35</v>
      </c>
      <c r="D161" s="3" t="s">
        <v>29</v>
      </c>
      <c r="E161" s="4" t="n">
        <v>45481</v>
      </c>
      <c r="F161" s="5" t="n">
        <v>0.604166666666667</v>
      </c>
      <c r="G161" s="3" t="s">
        <v>30</v>
      </c>
      <c r="H161" s="7" t="n">
        <f aca="false">IFERROR(HOUR(F161),"N/A")</f>
        <v>14</v>
      </c>
      <c r="I161" s="7" t="str">
        <f aca="false">IFERROR(TEXT(E161,"dddd"),"N/A")</f>
        <v>Monday</v>
      </c>
    </row>
    <row r="162" customFormat="false" ht="14.25" hidden="false" customHeight="true" outlineLevel="0" collapsed="false">
      <c r="A162" s="3" t="s">
        <v>361</v>
      </c>
      <c r="B162" s="3" t="s">
        <v>362</v>
      </c>
      <c r="C162" s="3" t="s">
        <v>15</v>
      </c>
      <c r="D162" s="3" t="s">
        <v>71</v>
      </c>
      <c r="E162" s="4" t="n">
        <v>45619</v>
      </c>
      <c r="F162" s="5" t="n">
        <v>0.625</v>
      </c>
      <c r="G162" s="3" t="s">
        <v>21</v>
      </c>
      <c r="H162" s="7" t="n">
        <f aca="false">IFERROR(HOUR(F162),"N/A")</f>
        <v>15</v>
      </c>
      <c r="I162" s="7" t="str">
        <f aca="false">IFERROR(TEXT(E162,"dddd"),"N/A")</f>
        <v>Saturday</v>
      </c>
    </row>
    <row r="163" customFormat="false" ht="14.25" hidden="false" customHeight="true" outlineLevel="0" collapsed="false">
      <c r="A163" s="3" t="s">
        <v>363</v>
      </c>
      <c r="B163" s="3" t="s">
        <v>364</v>
      </c>
      <c r="C163" s="3" t="s">
        <v>47</v>
      </c>
      <c r="D163" s="3" t="s">
        <v>29</v>
      </c>
      <c r="E163" s="4" t="n">
        <v>45474</v>
      </c>
      <c r="F163" s="5" t="n">
        <v>0.520833333333333</v>
      </c>
      <c r="G163" s="3" t="s">
        <v>25</v>
      </c>
      <c r="H163" s="7" t="n">
        <f aca="false">IFERROR(HOUR(F163),"N/A")</f>
        <v>12</v>
      </c>
      <c r="I163" s="7" t="str">
        <f aca="false">IFERROR(TEXT(E163,"dddd"),"N/A")</f>
        <v>Monday</v>
      </c>
    </row>
    <row r="164" customFormat="false" ht="14.25" hidden="false" customHeight="true" outlineLevel="0" collapsed="false">
      <c r="A164" s="3" t="s">
        <v>365</v>
      </c>
      <c r="B164" s="3" t="s">
        <v>366</v>
      </c>
      <c r="C164" s="3" t="s">
        <v>70</v>
      </c>
      <c r="D164" s="3" t="s">
        <v>16</v>
      </c>
      <c r="E164" s="4" t="n">
        <v>45337</v>
      </c>
      <c r="F164" s="5" t="n">
        <v>0.458333333333333</v>
      </c>
      <c r="G164" s="3" t="s">
        <v>30</v>
      </c>
      <c r="H164" s="7" t="n">
        <f aca="false">IFERROR(HOUR(F164),"N/A")</f>
        <v>11</v>
      </c>
      <c r="I164" s="7" t="str">
        <f aca="false">IFERROR(TEXT(E164,"dddd"),"N/A")</f>
        <v>Thursday</v>
      </c>
    </row>
    <row r="165" customFormat="false" ht="14.25" hidden="false" customHeight="true" outlineLevel="0" collapsed="false">
      <c r="A165" s="3" t="s">
        <v>367</v>
      </c>
      <c r="B165" s="3" t="s">
        <v>368</v>
      </c>
      <c r="C165" s="3" t="s">
        <v>137</v>
      </c>
      <c r="D165" s="3" t="s">
        <v>77</v>
      </c>
      <c r="E165" s="4" t="n">
        <v>45405</v>
      </c>
      <c r="F165" s="5" t="n">
        <v>0.458333333333333</v>
      </c>
      <c r="G165" s="3" t="s">
        <v>25</v>
      </c>
      <c r="H165" s="7" t="n">
        <f aca="false">IFERROR(HOUR(F165),"N/A")</f>
        <v>11</v>
      </c>
      <c r="I165" s="7" t="str">
        <f aca="false">IFERROR(TEXT(E165,"dddd"),"N/A")</f>
        <v>Tuesday</v>
      </c>
    </row>
    <row r="166" customFormat="false" ht="14.25" hidden="false" customHeight="true" outlineLevel="0" collapsed="false">
      <c r="A166" s="3" t="s">
        <v>369</v>
      </c>
      <c r="B166" s="3" t="s">
        <v>370</v>
      </c>
      <c r="C166" s="3" t="s">
        <v>130</v>
      </c>
      <c r="D166" s="3" t="s">
        <v>16</v>
      </c>
      <c r="E166" s="4" t="n">
        <v>45434</v>
      </c>
      <c r="F166" s="5" t="n">
        <v>0.458333333333333</v>
      </c>
      <c r="G166" s="3" t="s">
        <v>25</v>
      </c>
      <c r="H166" s="7" t="n">
        <f aca="false">IFERROR(HOUR(F166),"N/A")</f>
        <v>11</v>
      </c>
      <c r="I166" s="7" t="str">
        <f aca="false">IFERROR(TEXT(E166,"dddd"),"N/A")</f>
        <v>Wednesday</v>
      </c>
    </row>
    <row r="167" customFormat="false" ht="14.25" hidden="false" customHeight="true" outlineLevel="0" collapsed="false">
      <c r="A167" s="3" t="s">
        <v>371</v>
      </c>
      <c r="B167" s="3" t="s">
        <v>372</v>
      </c>
      <c r="C167" s="3" t="s">
        <v>124</v>
      </c>
      <c r="D167" s="3" t="s">
        <v>16</v>
      </c>
      <c r="E167" s="4" t="n">
        <v>45474</v>
      </c>
      <c r="F167" s="5" t="n">
        <v>0.729166666666667</v>
      </c>
      <c r="G167" s="3" t="s">
        <v>17</v>
      </c>
      <c r="H167" s="7" t="n">
        <f aca="false">IFERROR(HOUR(F167),"N/A")</f>
        <v>17</v>
      </c>
      <c r="I167" s="7" t="str">
        <f aca="false">IFERROR(TEXT(E167,"dddd"),"N/A")</f>
        <v>Monday</v>
      </c>
    </row>
    <row r="168" customFormat="false" ht="14.25" hidden="false" customHeight="true" outlineLevel="0" collapsed="false">
      <c r="A168" s="3" t="s">
        <v>373</v>
      </c>
      <c r="B168" s="3" t="s">
        <v>374</v>
      </c>
      <c r="C168" s="3" t="s">
        <v>67</v>
      </c>
      <c r="D168" s="3" t="s">
        <v>71</v>
      </c>
      <c r="E168" s="4" t="n">
        <v>45501</v>
      </c>
      <c r="F168" s="5" t="n">
        <v>0.708333333333333</v>
      </c>
      <c r="G168" s="3" t="s">
        <v>25</v>
      </c>
      <c r="H168" s="7" t="n">
        <f aca="false">IFERROR(HOUR(F168),"N/A")</f>
        <v>17</v>
      </c>
      <c r="I168" s="7" t="str">
        <f aca="false">IFERROR(TEXT(E168,"dddd"),"N/A")</f>
        <v>Sunday</v>
      </c>
    </row>
    <row r="169" customFormat="false" ht="14.25" hidden="false" customHeight="true" outlineLevel="0" collapsed="false">
      <c r="A169" s="3" t="s">
        <v>375</v>
      </c>
      <c r="B169" s="3" t="s">
        <v>376</v>
      </c>
      <c r="C169" s="3" t="s">
        <v>240</v>
      </c>
      <c r="D169" s="3" t="s">
        <v>12</v>
      </c>
      <c r="E169" s="4" t="n">
        <v>45613</v>
      </c>
      <c r="F169" s="5" t="n">
        <v>0.333333333333333</v>
      </c>
      <c r="G169" s="3" t="s">
        <v>21</v>
      </c>
      <c r="H169" s="7" t="n">
        <f aca="false">IFERROR(HOUR(F169),"N/A")</f>
        <v>8</v>
      </c>
      <c r="I169" s="7" t="str">
        <f aca="false">IFERROR(TEXT(E169,"dddd"),"N/A")</f>
        <v>Sunday</v>
      </c>
    </row>
    <row r="170" customFormat="false" ht="14.25" hidden="false" customHeight="true" outlineLevel="0" collapsed="false">
      <c r="A170" s="3" t="s">
        <v>377</v>
      </c>
      <c r="B170" s="3" t="s">
        <v>378</v>
      </c>
      <c r="C170" s="3" t="s">
        <v>154</v>
      </c>
      <c r="D170" s="3" t="s">
        <v>71</v>
      </c>
      <c r="E170" s="4" t="n">
        <v>45368</v>
      </c>
      <c r="F170" s="5" t="n">
        <v>0.75</v>
      </c>
      <c r="G170" s="3" t="s">
        <v>30</v>
      </c>
      <c r="H170" s="7" t="n">
        <f aca="false">IFERROR(HOUR(F170),"N/A")</f>
        <v>18</v>
      </c>
      <c r="I170" s="7" t="str">
        <f aca="false">IFERROR(TEXT(E170,"dddd"),"N/A")</f>
        <v>Sunday</v>
      </c>
    </row>
    <row r="171" customFormat="false" ht="14.25" hidden="false" customHeight="true" outlineLevel="0" collapsed="false">
      <c r="A171" s="3" t="s">
        <v>379</v>
      </c>
      <c r="B171" s="3" t="s">
        <v>380</v>
      </c>
      <c r="C171" s="3" t="s">
        <v>87</v>
      </c>
      <c r="D171" s="3" t="s">
        <v>71</v>
      </c>
      <c r="E171" s="4" t="n">
        <v>45354</v>
      </c>
      <c r="F171" s="5" t="n">
        <v>0.625</v>
      </c>
      <c r="G171" s="3" t="s">
        <v>25</v>
      </c>
      <c r="H171" s="7" t="n">
        <f aca="false">IFERROR(HOUR(F171),"N/A")</f>
        <v>15</v>
      </c>
      <c r="I171" s="7" t="str">
        <f aca="false">IFERROR(TEXT(E171,"dddd"),"N/A")</f>
        <v>Sunday</v>
      </c>
    </row>
    <row r="172" customFormat="false" ht="14.25" hidden="false" customHeight="true" outlineLevel="0" collapsed="false">
      <c r="A172" s="3" t="s">
        <v>381</v>
      </c>
      <c r="B172" s="3" t="s">
        <v>382</v>
      </c>
      <c r="C172" s="3" t="s">
        <v>41</v>
      </c>
      <c r="D172" s="3" t="s">
        <v>12</v>
      </c>
      <c r="E172" s="4" t="n">
        <v>45421</v>
      </c>
      <c r="F172" s="5" t="n">
        <v>0.333333333333333</v>
      </c>
      <c r="G172" s="3" t="s">
        <v>21</v>
      </c>
      <c r="H172" s="7" t="n">
        <f aca="false">IFERROR(HOUR(F172),"N/A")</f>
        <v>8</v>
      </c>
      <c r="I172" s="7" t="str">
        <f aca="false">IFERROR(TEXT(E172,"dddd"),"N/A")</f>
        <v>Thursday</v>
      </c>
    </row>
    <row r="173" customFormat="false" ht="14.25" hidden="false" customHeight="true" outlineLevel="0" collapsed="false">
      <c r="A173" s="3" t="s">
        <v>383</v>
      </c>
      <c r="B173" s="3" t="s">
        <v>384</v>
      </c>
      <c r="C173" s="3" t="s">
        <v>121</v>
      </c>
      <c r="D173" s="3" t="s">
        <v>12</v>
      </c>
      <c r="E173" s="4" t="n">
        <v>45437</v>
      </c>
      <c r="F173" s="5" t="n">
        <v>0.541666666666667</v>
      </c>
      <c r="G173" s="3" t="s">
        <v>25</v>
      </c>
      <c r="H173" s="7" t="n">
        <f aca="false">IFERROR(HOUR(F173),"N/A")</f>
        <v>13</v>
      </c>
      <c r="I173" s="7" t="str">
        <f aca="false">IFERROR(TEXT(E173,"dddd"),"N/A")</f>
        <v>Saturday</v>
      </c>
    </row>
    <row r="174" customFormat="false" ht="14.25" hidden="false" customHeight="true" outlineLevel="0" collapsed="false">
      <c r="A174" s="3" t="s">
        <v>9</v>
      </c>
      <c r="B174" s="3" t="s">
        <v>385</v>
      </c>
      <c r="C174" s="3" t="s">
        <v>100</v>
      </c>
      <c r="D174" s="3" t="s">
        <v>71</v>
      </c>
      <c r="E174" s="4" t="n">
        <v>45305</v>
      </c>
      <c r="F174" s="5" t="s">
        <v>9</v>
      </c>
      <c r="G174" s="3" t="s">
        <v>9</v>
      </c>
      <c r="H174" s="7" t="str">
        <f aca="false">IFERROR(HOUR(F174),"N/A")</f>
        <v>N/A</v>
      </c>
      <c r="I174" s="7" t="str">
        <f aca="false">IFERROR(TEXT(E174,"dddd"),"N/A")</f>
        <v>Sunday</v>
      </c>
    </row>
    <row r="175" customFormat="false" ht="14.25" hidden="false" customHeight="true" outlineLevel="0" collapsed="false">
      <c r="A175" s="3" t="s">
        <v>386</v>
      </c>
      <c r="B175" s="3" t="s">
        <v>387</v>
      </c>
      <c r="C175" s="3" t="s">
        <v>11</v>
      </c>
      <c r="D175" s="3" t="s">
        <v>29</v>
      </c>
      <c r="E175" s="4" t="n">
        <v>45598</v>
      </c>
      <c r="F175" s="5" t="n">
        <v>0.333333333333333</v>
      </c>
      <c r="G175" s="3" t="s">
        <v>25</v>
      </c>
      <c r="H175" s="7" t="n">
        <f aca="false">IFERROR(HOUR(F175),"N/A")</f>
        <v>8</v>
      </c>
      <c r="I175" s="7" t="str">
        <f aca="false">IFERROR(TEXT(E175,"dddd"),"N/A")</f>
        <v>Saturday</v>
      </c>
    </row>
    <row r="176" customFormat="false" ht="14.25" hidden="false" customHeight="true" outlineLevel="0" collapsed="false">
      <c r="A176" s="3" t="s">
        <v>388</v>
      </c>
      <c r="B176" s="3" t="s">
        <v>389</v>
      </c>
      <c r="C176" s="3" t="s">
        <v>95</v>
      </c>
      <c r="D176" s="3" t="s">
        <v>29</v>
      </c>
      <c r="E176" s="4" t="n">
        <v>45446</v>
      </c>
      <c r="F176" s="5" t="n">
        <v>0.395833333333333</v>
      </c>
      <c r="G176" s="3" t="s">
        <v>21</v>
      </c>
      <c r="H176" s="7" t="n">
        <f aca="false">IFERROR(HOUR(F176),"N/A")</f>
        <v>9</v>
      </c>
      <c r="I176" s="7" t="str">
        <f aca="false">IFERROR(TEXT(E176,"dddd"),"N/A")</f>
        <v>Monday</v>
      </c>
    </row>
    <row r="177" customFormat="false" ht="14.25" hidden="false" customHeight="true" outlineLevel="0" collapsed="false">
      <c r="A177" s="3" t="s">
        <v>390</v>
      </c>
      <c r="B177" s="3" t="s">
        <v>391</v>
      </c>
      <c r="C177" s="3" t="s">
        <v>38</v>
      </c>
      <c r="D177" s="3" t="s">
        <v>12</v>
      </c>
      <c r="E177" s="4" t="n">
        <v>45343</v>
      </c>
      <c r="F177" s="5" t="n">
        <v>0.625</v>
      </c>
      <c r="G177" s="3" t="s">
        <v>30</v>
      </c>
      <c r="H177" s="7" t="n">
        <f aca="false">IFERROR(HOUR(F177),"N/A")</f>
        <v>15</v>
      </c>
      <c r="I177" s="7" t="str">
        <f aca="false">IFERROR(TEXT(E177,"dddd"),"N/A")</f>
        <v>Wednesday</v>
      </c>
    </row>
    <row r="178" customFormat="false" ht="14.25" hidden="false" customHeight="true" outlineLevel="0" collapsed="false">
      <c r="A178" s="3" t="s">
        <v>392</v>
      </c>
      <c r="B178" s="3" t="s">
        <v>393</v>
      </c>
      <c r="C178" s="3" t="s">
        <v>105</v>
      </c>
      <c r="D178" s="3" t="s">
        <v>12</v>
      </c>
      <c r="E178" s="4" t="n">
        <v>45595</v>
      </c>
      <c r="F178" s="5" t="n">
        <v>0.666666666666667</v>
      </c>
      <c r="G178" s="3" t="s">
        <v>17</v>
      </c>
      <c r="H178" s="7" t="n">
        <f aca="false">IFERROR(HOUR(F178),"N/A")</f>
        <v>16</v>
      </c>
      <c r="I178" s="7" t="str">
        <f aca="false">IFERROR(TEXT(E178,"dddd"),"N/A")</f>
        <v>Wednesday</v>
      </c>
    </row>
    <row r="179" customFormat="false" ht="14.25" hidden="false" customHeight="true" outlineLevel="0" collapsed="false">
      <c r="A179" s="3" t="s">
        <v>394</v>
      </c>
      <c r="B179" s="3" t="s">
        <v>395</v>
      </c>
      <c r="C179" s="3" t="s">
        <v>105</v>
      </c>
      <c r="D179" s="3" t="s">
        <v>29</v>
      </c>
      <c r="E179" s="4" t="n">
        <v>45358</v>
      </c>
      <c r="F179" s="5" t="n">
        <v>0.375</v>
      </c>
      <c r="G179" s="3" t="s">
        <v>25</v>
      </c>
      <c r="H179" s="7" t="n">
        <f aca="false">IFERROR(HOUR(F179),"N/A")</f>
        <v>9</v>
      </c>
      <c r="I179" s="7" t="str">
        <f aca="false">IFERROR(TEXT(E179,"dddd"),"N/A")</f>
        <v>Thursday</v>
      </c>
    </row>
    <row r="180" customFormat="false" ht="14.25" hidden="false" customHeight="true" outlineLevel="0" collapsed="false">
      <c r="A180" s="3" t="s">
        <v>396</v>
      </c>
      <c r="B180" s="3" t="s">
        <v>397</v>
      </c>
      <c r="C180" s="3" t="s">
        <v>82</v>
      </c>
      <c r="D180" s="3" t="s">
        <v>29</v>
      </c>
      <c r="E180" s="4" t="n">
        <v>45349</v>
      </c>
      <c r="F180" s="5" t="n">
        <v>0.604166666666667</v>
      </c>
      <c r="G180" s="3" t="s">
        <v>25</v>
      </c>
      <c r="H180" s="7" t="n">
        <f aca="false">IFERROR(HOUR(F180),"N/A")</f>
        <v>14</v>
      </c>
      <c r="I180" s="7" t="str">
        <f aca="false">IFERROR(TEXT(E180,"dddd"),"N/A")</f>
        <v>Tuesday</v>
      </c>
    </row>
    <row r="181" customFormat="false" ht="14.25" hidden="false" customHeight="true" outlineLevel="0" collapsed="false">
      <c r="A181" s="3" t="s">
        <v>398</v>
      </c>
      <c r="B181" s="3" t="s">
        <v>399</v>
      </c>
      <c r="C181" s="3" t="s">
        <v>121</v>
      </c>
      <c r="D181" s="3" t="s">
        <v>77</v>
      </c>
      <c r="E181" s="4" t="n">
        <v>45507</v>
      </c>
      <c r="F181" s="5" t="n">
        <v>0.5</v>
      </c>
      <c r="G181" s="3" t="s">
        <v>30</v>
      </c>
      <c r="H181" s="7" t="n">
        <f aca="false">IFERROR(HOUR(F181),"N/A")</f>
        <v>12</v>
      </c>
      <c r="I181" s="7" t="str">
        <f aca="false">IFERROR(TEXT(E181,"dddd"),"N/A")</f>
        <v>Saturday</v>
      </c>
    </row>
    <row r="182" customFormat="false" ht="14.25" hidden="false" customHeight="true" outlineLevel="0" collapsed="false">
      <c r="A182" s="3" t="s">
        <v>400</v>
      </c>
      <c r="B182" s="3" t="s">
        <v>401</v>
      </c>
      <c r="C182" s="3" t="s">
        <v>87</v>
      </c>
      <c r="D182" s="3" t="s">
        <v>24</v>
      </c>
      <c r="E182" s="4" t="n">
        <v>45483</v>
      </c>
      <c r="F182" s="5" t="n">
        <v>0.770833333333333</v>
      </c>
      <c r="G182" s="3" t="s">
        <v>30</v>
      </c>
      <c r="H182" s="7" t="n">
        <f aca="false">IFERROR(HOUR(F182),"N/A")</f>
        <v>18</v>
      </c>
      <c r="I182" s="7" t="str">
        <f aca="false">IFERROR(TEXT(E182,"dddd"),"N/A")</f>
        <v>Wednesday</v>
      </c>
    </row>
    <row r="183" customFormat="false" ht="14.25" hidden="false" customHeight="true" outlineLevel="0" collapsed="false">
      <c r="A183" s="3" t="s">
        <v>402</v>
      </c>
      <c r="B183" s="3" t="s">
        <v>403</v>
      </c>
      <c r="C183" s="3" t="s">
        <v>67</v>
      </c>
      <c r="D183" s="3" t="s">
        <v>29</v>
      </c>
      <c r="E183" s="4" t="n">
        <v>45472</v>
      </c>
      <c r="F183" s="5" t="n">
        <v>0.333333333333333</v>
      </c>
      <c r="G183" s="3" t="s">
        <v>21</v>
      </c>
      <c r="H183" s="7" t="n">
        <f aca="false">IFERROR(HOUR(F183),"N/A")</f>
        <v>8</v>
      </c>
      <c r="I183" s="7" t="str">
        <f aca="false">IFERROR(TEXT(E183,"dddd"),"N/A")</f>
        <v>Saturday</v>
      </c>
    </row>
    <row r="184" customFormat="false" ht="14.25" hidden="false" customHeight="true" outlineLevel="0" collapsed="false">
      <c r="A184" s="3" t="s">
        <v>404</v>
      </c>
      <c r="B184" s="3" t="s">
        <v>405</v>
      </c>
      <c r="C184" s="3" t="s">
        <v>100</v>
      </c>
      <c r="D184" s="3" t="s">
        <v>71</v>
      </c>
      <c r="E184" s="4" t="n">
        <v>45388</v>
      </c>
      <c r="F184" s="5" t="n">
        <v>0.5</v>
      </c>
      <c r="G184" s="3" t="s">
        <v>17</v>
      </c>
      <c r="H184" s="7" t="n">
        <f aca="false">IFERROR(HOUR(F184),"N/A")</f>
        <v>12</v>
      </c>
      <c r="I184" s="7" t="str">
        <f aca="false">IFERROR(TEXT(E184,"dddd"),"N/A")</f>
        <v>Saturday</v>
      </c>
    </row>
    <row r="185" customFormat="false" ht="14.25" hidden="false" customHeight="true" outlineLevel="0" collapsed="false">
      <c r="A185" s="3" t="s">
        <v>406</v>
      </c>
      <c r="B185" s="3" t="s">
        <v>407</v>
      </c>
      <c r="C185" s="3" t="s">
        <v>35</v>
      </c>
      <c r="D185" s="3" t="s">
        <v>12</v>
      </c>
      <c r="E185" s="4" t="n">
        <v>45390</v>
      </c>
      <c r="F185" s="5" t="n">
        <v>0.354166666666667</v>
      </c>
      <c r="G185" s="3" t="s">
        <v>30</v>
      </c>
      <c r="H185" s="7" t="n">
        <f aca="false">IFERROR(HOUR(F185),"N/A")</f>
        <v>8</v>
      </c>
      <c r="I185" s="7" t="str">
        <f aca="false">IFERROR(TEXT(E185,"dddd"),"N/A")</f>
        <v>Monday</v>
      </c>
    </row>
    <row r="186" customFormat="false" ht="14.25" hidden="false" customHeight="true" outlineLevel="0" collapsed="false">
      <c r="A186" s="3" t="s">
        <v>408</v>
      </c>
      <c r="B186" s="3" t="s">
        <v>409</v>
      </c>
      <c r="C186" s="3" t="s">
        <v>35</v>
      </c>
      <c r="D186" s="3" t="s">
        <v>24</v>
      </c>
      <c r="E186" s="4" t="n">
        <v>45294</v>
      </c>
      <c r="F186" s="5" t="n">
        <v>0.5</v>
      </c>
      <c r="G186" s="3" t="s">
        <v>21</v>
      </c>
      <c r="H186" s="7" t="n">
        <f aca="false">IFERROR(HOUR(F186),"N/A")</f>
        <v>12</v>
      </c>
      <c r="I186" s="7" t="str">
        <f aca="false">IFERROR(TEXT(E186,"dddd"),"N/A")</f>
        <v>Wednesday</v>
      </c>
    </row>
    <row r="187" customFormat="false" ht="14.25" hidden="false" customHeight="true" outlineLevel="0" collapsed="false">
      <c r="A187" s="3" t="s">
        <v>410</v>
      </c>
      <c r="B187" s="3" t="s">
        <v>411</v>
      </c>
      <c r="C187" s="3" t="s">
        <v>80</v>
      </c>
      <c r="D187" s="3" t="s">
        <v>24</v>
      </c>
      <c r="E187" s="4" t="n">
        <v>45573</v>
      </c>
      <c r="F187" s="5" t="n">
        <v>0.6875</v>
      </c>
      <c r="G187" s="3" t="s">
        <v>21</v>
      </c>
      <c r="H187" s="7" t="n">
        <f aca="false">IFERROR(HOUR(F187),"N/A")</f>
        <v>16</v>
      </c>
      <c r="I187" s="7" t="str">
        <f aca="false">IFERROR(TEXT(E187,"dddd"),"N/A")</f>
        <v>Tuesday</v>
      </c>
    </row>
    <row r="188" customFormat="false" ht="14.25" hidden="false" customHeight="true" outlineLevel="0" collapsed="false">
      <c r="A188" s="3" t="s">
        <v>412</v>
      </c>
      <c r="B188" s="3" t="s">
        <v>413</v>
      </c>
      <c r="C188" s="3" t="s">
        <v>95</v>
      </c>
      <c r="D188" s="3" t="s">
        <v>24</v>
      </c>
      <c r="E188" s="4" t="n">
        <v>45543</v>
      </c>
      <c r="F188" s="5" t="n">
        <v>0.333333333333333</v>
      </c>
      <c r="G188" s="3" t="s">
        <v>17</v>
      </c>
      <c r="H188" s="7" t="n">
        <f aca="false">IFERROR(HOUR(F188),"N/A")</f>
        <v>8</v>
      </c>
      <c r="I188" s="7" t="str">
        <f aca="false">IFERROR(TEXT(E188,"dddd"),"N/A")</f>
        <v>Sunday</v>
      </c>
    </row>
    <row r="189" customFormat="false" ht="14.25" hidden="false" customHeight="true" outlineLevel="0" collapsed="false">
      <c r="A189" s="3" t="s">
        <v>414</v>
      </c>
      <c r="B189" s="3" t="s">
        <v>415</v>
      </c>
      <c r="C189" s="3" t="s">
        <v>87</v>
      </c>
      <c r="D189" s="3" t="s">
        <v>71</v>
      </c>
      <c r="E189" s="4" t="n">
        <v>45319</v>
      </c>
      <c r="F189" s="5" t="n">
        <v>0.666666666666667</v>
      </c>
      <c r="G189" s="3" t="s">
        <v>21</v>
      </c>
      <c r="H189" s="7" t="n">
        <f aca="false">IFERROR(HOUR(F189),"N/A")</f>
        <v>16</v>
      </c>
      <c r="I189" s="7" t="str">
        <f aca="false">IFERROR(TEXT(E189,"dddd"),"N/A")</f>
        <v>Sunday</v>
      </c>
    </row>
    <row r="190" customFormat="false" ht="14.25" hidden="false" customHeight="true" outlineLevel="0" collapsed="false">
      <c r="A190" s="3" t="s">
        <v>416</v>
      </c>
      <c r="B190" s="3" t="s">
        <v>417</v>
      </c>
      <c r="C190" s="3" t="s">
        <v>28</v>
      </c>
      <c r="D190" s="3" t="s">
        <v>24</v>
      </c>
      <c r="E190" s="4" t="n">
        <v>45427</v>
      </c>
      <c r="F190" s="5" t="n">
        <v>0.604166666666667</v>
      </c>
      <c r="G190" s="3" t="s">
        <v>17</v>
      </c>
      <c r="H190" s="7" t="n">
        <f aca="false">IFERROR(HOUR(F190),"N/A")</f>
        <v>14</v>
      </c>
      <c r="I190" s="7" t="str">
        <f aca="false">IFERROR(TEXT(E190,"dddd"),"N/A")</f>
        <v>Wednesday</v>
      </c>
    </row>
    <row r="191" customFormat="false" ht="14.25" hidden="false" customHeight="true" outlineLevel="0" collapsed="false">
      <c r="A191" s="3" t="s">
        <v>418</v>
      </c>
      <c r="B191" s="3" t="s">
        <v>419</v>
      </c>
      <c r="C191" s="3" t="s">
        <v>90</v>
      </c>
      <c r="D191" s="3" t="s">
        <v>71</v>
      </c>
      <c r="E191" s="4" t="n">
        <v>45455</v>
      </c>
      <c r="F191" s="5" t="n">
        <v>0.666666666666667</v>
      </c>
      <c r="G191" s="3" t="s">
        <v>30</v>
      </c>
      <c r="H191" s="7" t="n">
        <f aca="false">IFERROR(HOUR(F191),"N/A")</f>
        <v>16</v>
      </c>
      <c r="I191" s="7" t="str">
        <f aca="false">IFERROR(TEXT(E191,"dddd"),"N/A")</f>
        <v>Wednesday</v>
      </c>
    </row>
    <row r="192" customFormat="false" ht="14.25" hidden="false" customHeight="true" outlineLevel="0" collapsed="false">
      <c r="A192" s="3" t="s">
        <v>420</v>
      </c>
      <c r="B192" s="3" t="s">
        <v>421</v>
      </c>
      <c r="C192" s="3" t="s">
        <v>74</v>
      </c>
      <c r="D192" s="3" t="s">
        <v>77</v>
      </c>
      <c r="E192" s="4" t="n">
        <v>45364</v>
      </c>
      <c r="F192" s="5" t="n">
        <v>0.583333333333333</v>
      </c>
      <c r="G192" s="3" t="s">
        <v>17</v>
      </c>
      <c r="H192" s="7" t="n">
        <f aca="false">IFERROR(HOUR(F192),"N/A")</f>
        <v>14</v>
      </c>
      <c r="I192" s="7" t="str">
        <f aca="false">IFERROR(TEXT(E192,"dddd"),"N/A")</f>
        <v>Wednesday</v>
      </c>
    </row>
    <row r="193" customFormat="false" ht="14.25" hidden="false" customHeight="true" outlineLevel="0" collapsed="false">
      <c r="A193" s="3" t="s">
        <v>422</v>
      </c>
      <c r="B193" s="3" t="s">
        <v>423</v>
      </c>
      <c r="C193" s="3" t="s">
        <v>124</v>
      </c>
      <c r="D193" s="3" t="s">
        <v>12</v>
      </c>
      <c r="E193" s="4" t="n">
        <v>45435</v>
      </c>
      <c r="F193" s="5" t="n">
        <v>0.645833333333333</v>
      </c>
      <c r="G193" s="3" t="s">
        <v>17</v>
      </c>
      <c r="H193" s="7" t="n">
        <f aca="false">IFERROR(HOUR(F193),"N/A")</f>
        <v>15</v>
      </c>
      <c r="I193" s="7" t="str">
        <f aca="false">IFERROR(TEXT(E193,"dddd"),"N/A")</f>
        <v>Thursday</v>
      </c>
    </row>
    <row r="194" customFormat="false" ht="14.25" hidden="false" customHeight="true" outlineLevel="0" collapsed="false">
      <c r="A194" s="3" t="s">
        <v>424</v>
      </c>
      <c r="B194" s="3" t="s">
        <v>425</v>
      </c>
      <c r="C194" s="3" t="s">
        <v>38</v>
      </c>
      <c r="D194" s="3" t="s">
        <v>12</v>
      </c>
      <c r="E194" s="4" t="n">
        <v>45317</v>
      </c>
      <c r="F194" s="5" t="n">
        <v>0.604166666666667</v>
      </c>
      <c r="G194" s="3" t="s">
        <v>21</v>
      </c>
      <c r="H194" s="7" t="n">
        <f aca="false">IFERROR(HOUR(F194),"N/A")</f>
        <v>14</v>
      </c>
      <c r="I194" s="7" t="str">
        <f aca="false">IFERROR(TEXT(E194,"dddd"),"N/A")</f>
        <v>Friday</v>
      </c>
    </row>
    <row r="195" customFormat="false" ht="14.25" hidden="false" customHeight="true" outlineLevel="0" collapsed="false">
      <c r="A195" s="3" t="s">
        <v>426</v>
      </c>
      <c r="B195" s="3" t="s">
        <v>427</v>
      </c>
      <c r="C195" s="3" t="s">
        <v>121</v>
      </c>
      <c r="D195" s="3" t="s">
        <v>24</v>
      </c>
      <c r="E195" s="4" t="n">
        <v>45527</v>
      </c>
      <c r="F195" s="5" t="n">
        <v>0.458333333333333</v>
      </c>
      <c r="G195" s="3" t="s">
        <v>30</v>
      </c>
      <c r="H195" s="7" t="n">
        <f aca="false">IFERROR(HOUR(F195),"N/A")</f>
        <v>11</v>
      </c>
      <c r="I195" s="7" t="str">
        <f aca="false">IFERROR(TEXT(E195,"dddd"),"N/A")</f>
        <v>Friday</v>
      </c>
    </row>
    <row r="196" customFormat="false" ht="14.25" hidden="false" customHeight="true" outlineLevel="0" collapsed="false">
      <c r="A196" s="3" t="s">
        <v>428</v>
      </c>
      <c r="B196" s="3" t="s">
        <v>429</v>
      </c>
      <c r="C196" s="3" t="s">
        <v>90</v>
      </c>
      <c r="D196" s="3" t="s">
        <v>77</v>
      </c>
      <c r="E196" s="4" t="n">
        <v>45377</v>
      </c>
      <c r="F196" s="5" t="n">
        <v>0.395833333333333</v>
      </c>
      <c r="G196" s="3" t="s">
        <v>30</v>
      </c>
      <c r="H196" s="7" t="n">
        <f aca="false">IFERROR(HOUR(F196),"N/A")</f>
        <v>9</v>
      </c>
      <c r="I196" s="7" t="str">
        <f aca="false">IFERROR(TEXT(E196,"dddd"),"N/A")</f>
        <v>Tuesday</v>
      </c>
    </row>
    <row r="197" customFormat="false" ht="14.25" hidden="false" customHeight="true" outlineLevel="0" collapsed="false">
      <c r="A197" s="3" t="s">
        <v>430</v>
      </c>
      <c r="B197" s="3" t="s">
        <v>431</v>
      </c>
      <c r="C197" s="3" t="s">
        <v>70</v>
      </c>
      <c r="D197" s="3" t="s">
        <v>77</v>
      </c>
      <c r="E197" s="4" t="n">
        <v>45645</v>
      </c>
      <c r="F197" s="5" t="n">
        <v>0.375</v>
      </c>
      <c r="G197" s="3" t="s">
        <v>17</v>
      </c>
      <c r="H197" s="7" t="n">
        <f aca="false">IFERROR(HOUR(F197),"N/A")</f>
        <v>9</v>
      </c>
      <c r="I197" s="7" t="str">
        <f aca="false">IFERROR(TEXT(E197,"dddd"),"N/A")</f>
        <v>Thursday</v>
      </c>
    </row>
    <row r="198" customFormat="false" ht="14.25" hidden="false" customHeight="true" outlineLevel="0" collapsed="false">
      <c r="A198" s="3" t="s">
        <v>432</v>
      </c>
      <c r="B198" s="3" t="s">
        <v>433</v>
      </c>
      <c r="C198" s="3" t="s">
        <v>137</v>
      </c>
      <c r="D198" s="3" t="s">
        <v>71</v>
      </c>
      <c r="E198" s="4" t="n">
        <v>45368</v>
      </c>
      <c r="F198" s="5" t="n">
        <v>0.375</v>
      </c>
      <c r="G198" s="3" t="s">
        <v>17</v>
      </c>
      <c r="H198" s="7" t="n">
        <f aca="false">IFERROR(HOUR(F198),"N/A")</f>
        <v>9</v>
      </c>
      <c r="I198" s="7" t="str">
        <f aca="false">IFERROR(TEXT(E198,"dddd"),"N/A")</f>
        <v>Sunday</v>
      </c>
    </row>
    <row r="199" customFormat="false" ht="14.25" hidden="false" customHeight="true" outlineLevel="0" collapsed="false">
      <c r="A199" s="3" t="s">
        <v>434</v>
      </c>
      <c r="B199" s="3" t="s">
        <v>435</v>
      </c>
      <c r="C199" s="3" t="s">
        <v>38</v>
      </c>
      <c r="D199" s="3" t="s">
        <v>71</v>
      </c>
      <c r="E199" s="4" t="n">
        <v>45432</v>
      </c>
      <c r="F199" s="5" t="n">
        <v>0.479166666666667</v>
      </c>
      <c r="G199" s="3" t="s">
        <v>17</v>
      </c>
      <c r="H199" s="7" t="n">
        <f aca="false">IFERROR(HOUR(F199),"N/A")</f>
        <v>11</v>
      </c>
      <c r="I199" s="7" t="str">
        <f aca="false">IFERROR(TEXT(E199,"dddd"),"N/A")</f>
        <v>Monday</v>
      </c>
    </row>
    <row r="200" customFormat="false" ht="14.25" hidden="false" customHeight="true" outlineLevel="0" collapsed="false">
      <c r="A200" s="3" t="s">
        <v>436</v>
      </c>
      <c r="B200" s="3" t="s">
        <v>437</v>
      </c>
      <c r="C200" s="3" t="s">
        <v>100</v>
      </c>
      <c r="D200" s="3" t="s">
        <v>12</v>
      </c>
      <c r="E200" s="4" t="n">
        <v>45568</v>
      </c>
      <c r="F200" s="5" t="n">
        <v>0.479166666666667</v>
      </c>
      <c r="G200" s="3" t="s">
        <v>30</v>
      </c>
      <c r="H200" s="7" t="n">
        <f aca="false">IFERROR(HOUR(F200),"N/A")</f>
        <v>11</v>
      </c>
      <c r="I200" s="7" t="str">
        <f aca="false">IFERROR(TEXT(E200,"dddd"),"N/A")</f>
        <v>Thursday</v>
      </c>
    </row>
    <row r="201" customFormat="false" ht="14.25" hidden="false" customHeight="true" outlineLevel="0" collapsed="false">
      <c r="A201" s="3" t="s">
        <v>9</v>
      </c>
      <c r="B201" s="3" t="s">
        <v>438</v>
      </c>
      <c r="C201" s="3" t="s">
        <v>67</v>
      </c>
      <c r="D201" s="3" t="s">
        <v>77</v>
      </c>
      <c r="E201" s="4" t="n">
        <v>45480</v>
      </c>
      <c r="F201" s="5" t="s">
        <v>9</v>
      </c>
      <c r="G201" s="3" t="s">
        <v>9</v>
      </c>
      <c r="H201" s="7" t="str">
        <f aca="false">IFERROR(HOUR(F201),"N/A")</f>
        <v>N/A</v>
      </c>
      <c r="I201" s="7" t="str">
        <f aca="false">IFERROR(TEXT(E201,"dddd"),"N/A")</f>
        <v>Sunday</v>
      </c>
    </row>
    <row r="202" customFormat="false" ht="14.25" hidden="false" customHeight="true" outlineLevel="0" collapsed="false">
      <c r="A202" s="3" t="s">
        <v>9</v>
      </c>
      <c r="B202" s="3" t="s">
        <v>9</v>
      </c>
      <c r="C202" s="3" t="s">
        <v>9</v>
      </c>
      <c r="D202" s="3" t="s">
        <v>9</v>
      </c>
      <c r="E202" s="1" t="s">
        <v>9</v>
      </c>
      <c r="F202" s="2" t="s">
        <v>9</v>
      </c>
      <c r="G202" s="3" t="s">
        <v>9</v>
      </c>
      <c r="H202" s="7" t="str">
        <f aca="false">IFERROR(HOUR(F202),"N/A")</f>
        <v>N/A</v>
      </c>
      <c r="I202" s="7" t="str">
        <f aca="false">IFERROR(TEXT(E202,"dddd"),"N/A")</f>
        <v>N/A</v>
      </c>
    </row>
  </sheetData>
  <conditionalFormatting sqref="A1:G201 A202:D202 G202">
    <cfRule type="expression" priority="2" aboveAverage="0" equalAverage="0" bottom="0" percent="0" rank="0" text="" dxfId="0">
      <formula>LEN(TRIM(A1))=0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3" activeCellId="0" sqref="G3"/>
    </sheetView>
  </sheetViews>
  <sheetFormatPr defaultColWidth="18.2734375" defaultRowHeight="14.25" zeroHeight="false" outlineLevelRow="0" outlineLevelCol="0"/>
  <sheetData>
    <row r="1" customFormat="false" ht="14.25" hidden="false" customHeight="true" outlineLevel="0" collapsed="false">
      <c r="A1" s="3" t="s">
        <v>439</v>
      </c>
      <c r="B1" s="3" t="s">
        <v>1</v>
      </c>
      <c r="C1" s="3" t="s">
        <v>3</v>
      </c>
      <c r="D1" s="3" t="s">
        <v>440</v>
      </c>
      <c r="E1" s="3" t="s">
        <v>441</v>
      </c>
      <c r="F1" s="3" t="s">
        <v>442</v>
      </c>
    </row>
    <row r="2" customFormat="false" ht="14.25" hidden="false" customHeight="true" outlineLevel="0" collapsed="false">
      <c r="A2" s="3" t="s">
        <v>443</v>
      </c>
      <c r="B2" s="3" t="s">
        <v>19</v>
      </c>
      <c r="C2" s="3" t="s">
        <v>12</v>
      </c>
      <c r="D2" s="3" t="n">
        <v>4</v>
      </c>
      <c r="E2" s="3" t="s">
        <v>444</v>
      </c>
      <c r="F2" s="3" t="n">
        <v>45</v>
      </c>
    </row>
    <row r="3" customFormat="false" ht="14.25" hidden="false" customHeight="true" outlineLevel="0" collapsed="false">
      <c r="A3" s="3" t="s">
        <v>445</v>
      </c>
      <c r="B3" s="3" t="s">
        <v>301</v>
      </c>
      <c r="C3" s="3" t="s">
        <v>16</v>
      </c>
      <c r="D3" s="3" t="n">
        <v>3</v>
      </c>
      <c r="E3" s="3" t="s">
        <v>446</v>
      </c>
      <c r="F3" s="3" t="n">
        <v>45</v>
      </c>
    </row>
    <row r="4" customFormat="false" ht="14.25" hidden="false" customHeight="true" outlineLevel="0" collapsed="false">
      <c r="A4" s="3" t="s">
        <v>447</v>
      </c>
      <c r="B4" s="3" t="s">
        <v>19</v>
      </c>
      <c r="C4" s="3" t="s">
        <v>9</v>
      </c>
      <c r="D4" s="3" t="n">
        <v>6.27</v>
      </c>
      <c r="E4" s="3" t="s">
        <v>448</v>
      </c>
      <c r="F4" s="3" t="n">
        <v>30</v>
      </c>
    </row>
    <row r="5" customFormat="false" ht="14.25" hidden="false" customHeight="true" outlineLevel="0" collapsed="false">
      <c r="A5" s="3" t="s">
        <v>449</v>
      </c>
      <c r="B5" s="3" t="s">
        <v>136</v>
      </c>
      <c r="C5" s="3" t="s">
        <v>24</v>
      </c>
      <c r="D5" s="3" t="n">
        <v>9</v>
      </c>
      <c r="E5" s="3" t="s">
        <v>450</v>
      </c>
      <c r="F5" s="3" t="n">
        <v>30</v>
      </c>
    </row>
    <row r="6" customFormat="false" ht="14.25" hidden="false" customHeight="true" outlineLevel="0" collapsed="false">
      <c r="A6" s="3" t="s">
        <v>451</v>
      </c>
      <c r="B6" s="3" t="s">
        <v>201</v>
      </c>
      <c r="C6" s="3" t="s">
        <v>29</v>
      </c>
      <c r="D6" s="3" t="n">
        <v>8</v>
      </c>
      <c r="E6" s="3" t="s">
        <v>452</v>
      </c>
      <c r="F6" s="3" t="n">
        <v>45</v>
      </c>
    </row>
    <row r="7" customFormat="false" ht="14.25" hidden="false" customHeight="true" outlineLevel="0" collapsed="false">
      <c r="A7" s="3" t="s">
        <v>453</v>
      </c>
      <c r="B7" s="3" t="s">
        <v>254</v>
      </c>
      <c r="C7" s="3" t="s">
        <v>29</v>
      </c>
      <c r="D7" s="3" t="n">
        <v>5</v>
      </c>
      <c r="E7" s="3" t="s">
        <v>454</v>
      </c>
      <c r="F7" s="3" t="n">
        <v>45</v>
      </c>
    </row>
    <row r="8" customFormat="false" ht="14.25" hidden="false" customHeight="true" outlineLevel="0" collapsed="false">
      <c r="A8" s="3" t="s">
        <v>455</v>
      </c>
      <c r="B8" s="3" t="s">
        <v>295</v>
      </c>
      <c r="C8" s="3" t="s">
        <v>24</v>
      </c>
      <c r="D8" s="3" t="n">
        <v>4</v>
      </c>
      <c r="E8" s="3" t="s">
        <v>444</v>
      </c>
      <c r="F8" s="3" t="n">
        <v>45</v>
      </c>
    </row>
    <row r="9" customFormat="false" ht="14.25" hidden="false" customHeight="true" outlineLevel="0" collapsed="false">
      <c r="A9" s="3" t="s">
        <v>456</v>
      </c>
      <c r="B9" s="3" t="s">
        <v>313</v>
      </c>
      <c r="C9" s="3" t="s">
        <v>24</v>
      </c>
      <c r="D9" s="3" t="n">
        <v>7</v>
      </c>
      <c r="E9" s="3" t="s">
        <v>457</v>
      </c>
      <c r="F9" s="3" t="n">
        <v>45</v>
      </c>
    </row>
    <row r="10" customFormat="false" ht="14.25" hidden="false" customHeight="true" outlineLevel="0" collapsed="false">
      <c r="A10" s="3" t="s">
        <v>458</v>
      </c>
      <c r="B10" s="3" t="s">
        <v>352</v>
      </c>
      <c r="C10" s="3" t="s">
        <v>12</v>
      </c>
      <c r="D10" s="3" t="n">
        <v>7</v>
      </c>
      <c r="E10" s="3" t="s">
        <v>457</v>
      </c>
      <c r="F10" s="3" t="n">
        <v>45</v>
      </c>
    </row>
    <row r="11" customFormat="false" ht="14.25" hidden="false" customHeight="true" outlineLevel="0" collapsed="false">
      <c r="A11" s="3" t="s">
        <v>459</v>
      </c>
      <c r="B11" s="3" t="s">
        <v>433</v>
      </c>
      <c r="C11" s="3" t="s">
        <v>16</v>
      </c>
      <c r="D11" s="3" t="n">
        <v>4</v>
      </c>
      <c r="E11" s="3" t="s">
        <v>444</v>
      </c>
      <c r="F11" s="3" t="n">
        <v>45</v>
      </c>
    </row>
    <row r="12" customFormat="false" ht="14.25" hidden="false" customHeight="true" outlineLevel="0" collapsed="false">
      <c r="A12" s="3" t="s">
        <v>460</v>
      </c>
      <c r="B12" s="3" t="s">
        <v>46</v>
      </c>
      <c r="C12" s="3" t="s">
        <v>16</v>
      </c>
      <c r="D12" s="3" t="n">
        <v>4</v>
      </c>
      <c r="E12" s="3" t="s">
        <v>461</v>
      </c>
      <c r="F12" s="3" t="n">
        <v>45</v>
      </c>
    </row>
    <row r="13" customFormat="false" ht="14.25" hidden="false" customHeight="true" outlineLevel="0" collapsed="false">
      <c r="A13" s="3" t="s">
        <v>462</v>
      </c>
      <c r="B13" s="3" t="s">
        <v>49</v>
      </c>
      <c r="C13" s="3" t="s">
        <v>16</v>
      </c>
      <c r="D13" s="3" t="n">
        <v>3</v>
      </c>
      <c r="E13" s="3" t="s">
        <v>463</v>
      </c>
      <c r="F13" s="3" t="n">
        <v>45</v>
      </c>
    </row>
    <row r="14" customFormat="false" ht="14.25" hidden="false" customHeight="true" outlineLevel="0" collapsed="false">
      <c r="A14" s="3" t="s">
        <v>464</v>
      </c>
      <c r="B14" s="3" t="s">
        <v>62</v>
      </c>
      <c r="C14" s="3" t="s">
        <v>29</v>
      </c>
      <c r="D14" s="3" t="n">
        <v>7</v>
      </c>
      <c r="E14" s="3" t="s">
        <v>457</v>
      </c>
      <c r="F14" s="3" t="n">
        <v>45</v>
      </c>
    </row>
    <row r="15" customFormat="false" ht="14.25" hidden="false" customHeight="true" outlineLevel="0" collapsed="false">
      <c r="A15" s="3" t="s">
        <v>465</v>
      </c>
      <c r="B15" s="3" t="s">
        <v>53</v>
      </c>
      <c r="C15" s="3" t="s">
        <v>12</v>
      </c>
      <c r="D15" s="3" t="n">
        <v>3</v>
      </c>
      <c r="E15" s="3" t="s">
        <v>463</v>
      </c>
      <c r="F15" s="3" t="n">
        <v>45</v>
      </c>
    </row>
    <row r="16" customFormat="false" ht="14.25" hidden="false" customHeight="true" outlineLevel="0" collapsed="false">
      <c r="A16" s="3" t="s">
        <v>466</v>
      </c>
      <c r="B16" s="3" t="s">
        <v>55</v>
      </c>
      <c r="C16" s="3" t="s">
        <v>16</v>
      </c>
      <c r="D16" s="3" t="n">
        <v>3</v>
      </c>
      <c r="E16" s="3" t="s">
        <v>463</v>
      </c>
      <c r="F16" s="3" t="n">
        <v>45</v>
      </c>
    </row>
    <row r="17" customFormat="false" ht="14.25" hidden="false" customHeight="true" outlineLevel="0" collapsed="false">
      <c r="A17" s="3" t="s">
        <v>467</v>
      </c>
      <c r="B17" s="3" t="s">
        <v>58</v>
      </c>
      <c r="C17" s="3" t="s">
        <v>24</v>
      </c>
      <c r="D17" s="3" t="n">
        <v>6</v>
      </c>
      <c r="E17" s="3" t="s">
        <v>468</v>
      </c>
      <c r="F17" s="3" t="n">
        <v>45</v>
      </c>
    </row>
    <row r="18" customFormat="false" ht="14.25" hidden="false" customHeight="true" outlineLevel="0" collapsed="false">
      <c r="A18" s="3" t="s">
        <v>469</v>
      </c>
      <c r="B18" s="3" t="s">
        <v>60</v>
      </c>
      <c r="C18" s="3" t="s">
        <v>24</v>
      </c>
      <c r="D18" s="3" t="n">
        <v>5</v>
      </c>
      <c r="E18" s="3" t="s">
        <v>470</v>
      </c>
      <c r="F18" s="3" t="n">
        <v>45</v>
      </c>
    </row>
    <row r="19" customFormat="false" ht="14.25" hidden="false" customHeight="true" outlineLevel="0" collapsed="false">
      <c r="A19" s="3" t="s">
        <v>471</v>
      </c>
      <c r="B19" s="3" t="s">
        <v>62</v>
      </c>
      <c r="C19" s="3" t="s">
        <v>9</v>
      </c>
      <c r="D19" s="3" t="n">
        <v>6.27</v>
      </c>
      <c r="E19" s="3" t="s">
        <v>472</v>
      </c>
      <c r="F19" s="3" t="s">
        <v>9</v>
      </c>
    </row>
    <row r="20" customFormat="false" ht="14.25" hidden="false" customHeight="true" outlineLevel="0" collapsed="false">
      <c r="A20" s="3" t="s">
        <v>473</v>
      </c>
      <c r="B20" s="3" t="s">
        <v>64</v>
      </c>
      <c r="C20" s="3" t="s">
        <v>24</v>
      </c>
      <c r="D20" s="3" t="n">
        <v>8</v>
      </c>
      <c r="E20" s="3" t="s">
        <v>474</v>
      </c>
      <c r="F20" s="3" t="n">
        <v>45</v>
      </c>
    </row>
    <row r="21" customFormat="false" ht="14.25" hidden="false" customHeight="true" outlineLevel="0" collapsed="false">
      <c r="A21" s="3" t="s">
        <v>475</v>
      </c>
      <c r="B21" s="3" t="s">
        <v>66</v>
      </c>
      <c r="C21" s="3" t="s">
        <v>12</v>
      </c>
      <c r="D21" s="3" t="n">
        <v>8</v>
      </c>
      <c r="E21" s="3" t="s">
        <v>452</v>
      </c>
      <c r="F21" s="3" t="n">
        <v>45</v>
      </c>
    </row>
    <row r="22" customFormat="false" ht="14.25" hidden="false" customHeight="true" outlineLevel="0" collapsed="false">
      <c r="A22" s="3" t="s">
        <v>476</v>
      </c>
      <c r="B22" s="3" t="s">
        <v>69</v>
      </c>
      <c r="C22" s="3" t="s">
        <v>71</v>
      </c>
      <c r="D22" s="3" t="n">
        <v>3</v>
      </c>
      <c r="E22" s="3" t="s">
        <v>446</v>
      </c>
      <c r="F22" s="3" t="n">
        <v>45</v>
      </c>
    </row>
    <row r="23" customFormat="false" ht="14.25" hidden="false" customHeight="true" outlineLevel="0" collapsed="false">
      <c r="A23" s="3" t="s">
        <v>477</v>
      </c>
      <c r="B23" s="3" t="s">
        <v>73</v>
      </c>
      <c r="C23" s="3" t="s">
        <v>29</v>
      </c>
      <c r="D23" s="3" t="n">
        <v>4</v>
      </c>
      <c r="E23" s="3" t="s">
        <v>444</v>
      </c>
      <c r="F23" s="3" t="n">
        <v>45</v>
      </c>
    </row>
    <row r="24" customFormat="false" ht="14.25" hidden="false" customHeight="true" outlineLevel="0" collapsed="false">
      <c r="A24" s="3" t="s">
        <v>478</v>
      </c>
      <c r="B24" s="3" t="s">
        <v>76</v>
      </c>
      <c r="C24" s="3" t="s">
        <v>77</v>
      </c>
      <c r="D24" s="3" t="n">
        <v>7</v>
      </c>
      <c r="E24" s="3" t="s">
        <v>457</v>
      </c>
      <c r="F24" s="3" t="n">
        <v>45</v>
      </c>
    </row>
    <row r="25" customFormat="false" ht="14.25" hidden="false" customHeight="true" outlineLevel="0" collapsed="false">
      <c r="A25" s="3" t="s">
        <v>479</v>
      </c>
      <c r="B25" s="3" t="s">
        <v>79</v>
      </c>
      <c r="C25" s="3" t="s">
        <v>77</v>
      </c>
      <c r="D25" s="3" t="n">
        <v>4</v>
      </c>
      <c r="E25" s="3" t="s">
        <v>444</v>
      </c>
      <c r="F25" s="3" t="n">
        <v>45</v>
      </c>
    </row>
    <row r="26" customFormat="false" ht="14.25" hidden="false" customHeight="true" outlineLevel="0" collapsed="false">
      <c r="A26" s="3" t="s">
        <v>480</v>
      </c>
      <c r="B26" s="3" t="s">
        <v>136</v>
      </c>
      <c r="C26" s="3" t="s">
        <v>77</v>
      </c>
      <c r="D26" s="3" t="n">
        <v>9</v>
      </c>
      <c r="E26" s="3" t="s">
        <v>481</v>
      </c>
      <c r="F26" s="3" t="n">
        <v>30</v>
      </c>
    </row>
    <row r="27" customFormat="false" ht="14.25" hidden="false" customHeight="true" outlineLevel="0" collapsed="false">
      <c r="A27" s="3" t="s">
        <v>482</v>
      </c>
      <c r="B27" s="3" t="s">
        <v>84</v>
      </c>
      <c r="C27" s="3" t="s">
        <v>29</v>
      </c>
      <c r="D27" s="3" t="n">
        <v>4</v>
      </c>
      <c r="E27" s="3" t="s">
        <v>444</v>
      </c>
      <c r="F27" s="3" t="n">
        <v>45</v>
      </c>
    </row>
    <row r="28" customFormat="false" ht="14.25" hidden="false" customHeight="true" outlineLevel="0" collapsed="false">
      <c r="A28" s="3" t="s">
        <v>483</v>
      </c>
      <c r="B28" s="3" t="s">
        <v>86</v>
      </c>
      <c r="C28" s="3" t="s">
        <v>16</v>
      </c>
      <c r="D28" s="3" t="n">
        <v>7</v>
      </c>
      <c r="E28" s="3" t="s">
        <v>457</v>
      </c>
      <c r="F28" s="3" t="n">
        <v>45</v>
      </c>
    </row>
    <row r="29" customFormat="false" ht="14.25" hidden="false" customHeight="true" outlineLevel="0" collapsed="false">
      <c r="A29" s="3" t="s">
        <v>484</v>
      </c>
      <c r="B29" s="3" t="s">
        <v>89</v>
      </c>
      <c r="C29" s="3" t="s">
        <v>29</v>
      </c>
      <c r="D29" s="3" t="n">
        <v>7</v>
      </c>
      <c r="E29" s="3" t="s">
        <v>454</v>
      </c>
      <c r="F29" s="3" t="n">
        <v>45</v>
      </c>
    </row>
    <row r="30" customFormat="false" ht="14.25" hidden="false" customHeight="true" outlineLevel="0" collapsed="false">
      <c r="A30" s="3" t="s">
        <v>485</v>
      </c>
      <c r="B30" s="3" t="s">
        <v>92</v>
      </c>
      <c r="C30" s="3" t="s">
        <v>29</v>
      </c>
      <c r="D30" s="3" t="n">
        <v>3</v>
      </c>
      <c r="E30" s="3" t="s">
        <v>446</v>
      </c>
      <c r="F30" s="3" t="n">
        <v>45</v>
      </c>
    </row>
    <row r="31" customFormat="false" ht="14.25" hidden="false" customHeight="true" outlineLevel="0" collapsed="false">
      <c r="A31" s="3" t="s">
        <v>486</v>
      </c>
      <c r="B31" s="3" t="s">
        <v>94</v>
      </c>
      <c r="C31" s="3" t="s">
        <v>24</v>
      </c>
      <c r="D31" s="3" t="n">
        <v>9</v>
      </c>
      <c r="E31" s="3" t="s">
        <v>448</v>
      </c>
      <c r="F31" s="3" t="n">
        <v>30</v>
      </c>
    </row>
    <row r="32" customFormat="false" ht="14.25" hidden="false" customHeight="true" outlineLevel="0" collapsed="false">
      <c r="A32" s="3" t="s">
        <v>487</v>
      </c>
      <c r="B32" s="3" t="s">
        <v>97</v>
      </c>
      <c r="C32" s="3" t="s">
        <v>77</v>
      </c>
      <c r="D32" s="3" t="n">
        <v>4</v>
      </c>
      <c r="E32" s="3" t="s">
        <v>461</v>
      </c>
      <c r="F32" s="3" t="n">
        <v>45</v>
      </c>
    </row>
    <row r="33" customFormat="false" ht="14.25" hidden="false" customHeight="true" outlineLevel="0" collapsed="false">
      <c r="A33" s="3" t="s">
        <v>488</v>
      </c>
      <c r="B33" s="3" t="s">
        <v>99</v>
      </c>
      <c r="C33" s="3" t="s">
        <v>16</v>
      </c>
      <c r="D33" s="3" t="n">
        <v>3</v>
      </c>
      <c r="E33" s="3" t="s">
        <v>446</v>
      </c>
      <c r="F33" s="3" t="n">
        <v>45</v>
      </c>
    </row>
    <row r="34" customFormat="false" ht="14.25" hidden="false" customHeight="true" outlineLevel="0" collapsed="false">
      <c r="A34" s="3" t="s">
        <v>489</v>
      </c>
      <c r="B34" s="3" t="s">
        <v>102</v>
      </c>
      <c r="C34" s="3" t="s">
        <v>71</v>
      </c>
      <c r="D34" s="3" t="n">
        <v>5</v>
      </c>
      <c r="E34" s="3" t="s">
        <v>470</v>
      </c>
      <c r="F34" s="3" t="n">
        <v>45</v>
      </c>
    </row>
    <row r="35" customFormat="false" ht="14.25" hidden="false" customHeight="true" outlineLevel="0" collapsed="false">
      <c r="A35" s="3" t="s">
        <v>490</v>
      </c>
      <c r="B35" s="3" t="s">
        <v>104</v>
      </c>
      <c r="C35" s="3" t="s">
        <v>24</v>
      </c>
      <c r="D35" s="3" t="n">
        <v>9</v>
      </c>
      <c r="E35" s="3" t="s">
        <v>481</v>
      </c>
      <c r="F35" s="3" t="n">
        <v>30</v>
      </c>
    </row>
    <row r="36" customFormat="false" ht="14.25" hidden="false" customHeight="true" outlineLevel="0" collapsed="false">
      <c r="A36" s="3" t="s">
        <v>491</v>
      </c>
      <c r="B36" s="3" t="s">
        <v>107</v>
      </c>
      <c r="C36" s="3" t="s">
        <v>71</v>
      </c>
      <c r="D36" s="3" t="n">
        <v>6</v>
      </c>
      <c r="E36" s="3" t="s">
        <v>468</v>
      </c>
      <c r="F36" s="3" t="n">
        <v>45</v>
      </c>
    </row>
    <row r="37" customFormat="false" ht="14.25" hidden="false" customHeight="true" outlineLevel="0" collapsed="false">
      <c r="A37" s="3" t="s">
        <v>492</v>
      </c>
      <c r="B37" s="3" t="s">
        <v>109</v>
      </c>
      <c r="C37" s="3" t="s">
        <v>16</v>
      </c>
      <c r="D37" s="3" t="n">
        <v>9</v>
      </c>
      <c r="E37" s="3" t="s">
        <v>450</v>
      </c>
      <c r="F37" s="3" t="n">
        <v>30</v>
      </c>
    </row>
    <row r="38" customFormat="false" ht="14.25" hidden="false" customHeight="true" outlineLevel="0" collapsed="false">
      <c r="A38" s="3" t="s">
        <v>493</v>
      </c>
      <c r="B38" s="3" t="s">
        <v>111</v>
      </c>
      <c r="C38" s="3" t="s">
        <v>77</v>
      </c>
      <c r="D38" s="3" t="n">
        <v>7</v>
      </c>
      <c r="E38" s="3" t="s">
        <v>472</v>
      </c>
      <c r="F38" s="3" t="n">
        <v>45</v>
      </c>
    </row>
    <row r="39" customFormat="false" ht="14.25" hidden="false" customHeight="true" outlineLevel="0" collapsed="false">
      <c r="A39" s="3" t="s">
        <v>494</v>
      </c>
      <c r="B39" s="3" t="s">
        <v>113</v>
      </c>
      <c r="C39" s="3" t="s">
        <v>77</v>
      </c>
      <c r="D39" s="3" t="n">
        <v>3</v>
      </c>
      <c r="E39" s="3" t="s">
        <v>463</v>
      </c>
      <c r="F39" s="3" t="n">
        <v>45</v>
      </c>
    </row>
    <row r="40" customFormat="false" ht="14.25" hidden="false" customHeight="true" outlineLevel="0" collapsed="false">
      <c r="A40" s="3" t="s">
        <v>495</v>
      </c>
      <c r="B40" s="3" t="s">
        <v>311</v>
      </c>
      <c r="C40" s="3" t="s">
        <v>77</v>
      </c>
      <c r="D40" s="3" t="n">
        <v>5</v>
      </c>
      <c r="E40" s="3" t="s">
        <v>470</v>
      </c>
      <c r="F40" s="3" t="n">
        <v>45</v>
      </c>
    </row>
    <row r="41" customFormat="false" ht="14.25" hidden="false" customHeight="true" outlineLevel="0" collapsed="false">
      <c r="A41" s="3" t="s">
        <v>496</v>
      </c>
      <c r="B41" s="3" t="s">
        <v>115</v>
      </c>
      <c r="C41" s="3" t="s">
        <v>29</v>
      </c>
      <c r="D41" s="3" t="n">
        <v>9</v>
      </c>
      <c r="E41" s="3" t="s">
        <v>497</v>
      </c>
      <c r="F41" s="3" t="n">
        <v>30</v>
      </c>
    </row>
    <row r="42" customFormat="false" ht="14.25" hidden="false" customHeight="true" outlineLevel="0" collapsed="false">
      <c r="A42" s="3" t="s">
        <v>498</v>
      </c>
      <c r="B42" s="3" t="s">
        <v>118</v>
      </c>
      <c r="C42" s="3" t="s">
        <v>29</v>
      </c>
      <c r="D42" s="3" t="n">
        <v>9</v>
      </c>
      <c r="E42" s="3" t="s">
        <v>450</v>
      </c>
      <c r="F42" s="3" t="n">
        <v>30</v>
      </c>
    </row>
    <row r="43" customFormat="false" ht="14.25" hidden="false" customHeight="true" outlineLevel="0" collapsed="false">
      <c r="A43" s="3" t="s">
        <v>499</v>
      </c>
      <c r="B43" s="3" t="s">
        <v>120</v>
      </c>
      <c r="C43" s="3" t="s">
        <v>24</v>
      </c>
      <c r="D43" s="3" t="n">
        <v>7</v>
      </c>
      <c r="E43" s="3" t="s">
        <v>472</v>
      </c>
      <c r="F43" s="3" t="n">
        <v>45</v>
      </c>
    </row>
    <row r="44" customFormat="false" ht="14.25" hidden="false" customHeight="true" outlineLevel="0" collapsed="false">
      <c r="A44" s="3" t="s">
        <v>500</v>
      </c>
      <c r="B44" s="3" t="s">
        <v>123</v>
      </c>
      <c r="C44" s="3" t="s">
        <v>24</v>
      </c>
      <c r="D44" s="3" t="n">
        <v>4</v>
      </c>
      <c r="E44" s="3" t="s">
        <v>444</v>
      </c>
      <c r="F44" s="3" t="n">
        <v>45</v>
      </c>
    </row>
    <row r="45" customFormat="false" ht="14.25" hidden="false" customHeight="true" outlineLevel="0" collapsed="false">
      <c r="A45" s="3" t="s">
        <v>501</v>
      </c>
      <c r="B45" s="3" t="s">
        <v>126</v>
      </c>
      <c r="C45" s="3" t="s">
        <v>12</v>
      </c>
      <c r="D45" s="3" t="n">
        <v>5</v>
      </c>
      <c r="E45" s="3" t="s">
        <v>470</v>
      </c>
      <c r="F45" s="3" t="n">
        <v>45</v>
      </c>
    </row>
    <row r="46" customFormat="false" ht="14.25" hidden="false" customHeight="true" outlineLevel="0" collapsed="false">
      <c r="A46" s="3" t="s">
        <v>502</v>
      </c>
      <c r="B46" s="3" t="s">
        <v>129</v>
      </c>
      <c r="C46" s="3" t="s">
        <v>16</v>
      </c>
      <c r="D46" s="3" t="n">
        <v>9</v>
      </c>
      <c r="E46" s="3" t="s">
        <v>481</v>
      </c>
      <c r="F46" s="3" t="n">
        <v>30</v>
      </c>
    </row>
    <row r="47" customFormat="false" ht="14.25" hidden="false" customHeight="true" outlineLevel="0" collapsed="false">
      <c r="A47" s="3" t="s">
        <v>503</v>
      </c>
      <c r="B47" s="3" t="s">
        <v>132</v>
      </c>
      <c r="C47" s="3" t="s">
        <v>16</v>
      </c>
      <c r="D47" s="3" t="n">
        <v>7</v>
      </c>
      <c r="E47" s="3" t="s">
        <v>457</v>
      </c>
      <c r="F47" s="3" t="n">
        <v>45</v>
      </c>
    </row>
    <row r="48" customFormat="false" ht="14.25" hidden="false" customHeight="true" outlineLevel="0" collapsed="false">
      <c r="A48" s="3" t="s">
        <v>504</v>
      </c>
      <c r="B48" s="3" t="s">
        <v>134</v>
      </c>
      <c r="C48" s="3" t="s">
        <v>24</v>
      </c>
      <c r="D48" s="3" t="n">
        <v>5</v>
      </c>
      <c r="E48" s="3" t="s">
        <v>470</v>
      </c>
      <c r="F48" s="3" t="n">
        <v>45</v>
      </c>
    </row>
    <row r="49" customFormat="false" ht="14.25" hidden="false" customHeight="true" outlineLevel="0" collapsed="false">
      <c r="A49" s="3" t="s">
        <v>505</v>
      </c>
      <c r="B49" s="3" t="s">
        <v>136</v>
      </c>
      <c r="C49" s="3" t="s">
        <v>9</v>
      </c>
      <c r="D49" s="3" t="n">
        <v>6.27</v>
      </c>
      <c r="E49" s="3" t="s">
        <v>474</v>
      </c>
      <c r="F49" s="3" t="n">
        <v>45</v>
      </c>
    </row>
    <row r="50" customFormat="false" ht="14.25" hidden="false" customHeight="true" outlineLevel="0" collapsed="false">
      <c r="A50" s="3" t="s">
        <v>506</v>
      </c>
      <c r="B50" s="3" t="s">
        <v>139</v>
      </c>
      <c r="C50" s="3" t="s">
        <v>24</v>
      </c>
      <c r="D50" s="3" t="n">
        <v>7</v>
      </c>
      <c r="E50" s="3" t="s">
        <v>457</v>
      </c>
      <c r="F50" s="3" t="n">
        <v>45</v>
      </c>
    </row>
    <row r="51" customFormat="false" ht="14.25" hidden="false" customHeight="true" outlineLevel="0" collapsed="false">
      <c r="A51" s="3" t="s">
        <v>507</v>
      </c>
      <c r="B51" s="3" t="s">
        <v>141</v>
      </c>
      <c r="C51" s="3" t="s">
        <v>29</v>
      </c>
      <c r="D51" s="3" t="n">
        <v>4</v>
      </c>
      <c r="E51" s="3" t="s">
        <v>461</v>
      </c>
      <c r="F51" s="3" t="n">
        <v>45</v>
      </c>
    </row>
    <row r="52" customFormat="false" ht="14.25" hidden="false" customHeight="true" outlineLevel="0" collapsed="false">
      <c r="A52" s="3" t="s">
        <v>508</v>
      </c>
      <c r="B52" s="3" t="s">
        <v>143</v>
      </c>
      <c r="C52" s="3" t="s">
        <v>16</v>
      </c>
      <c r="D52" s="3" t="n">
        <v>3</v>
      </c>
      <c r="E52" s="3" t="s">
        <v>446</v>
      </c>
      <c r="F52" s="3" t="n">
        <v>45</v>
      </c>
    </row>
    <row r="53" customFormat="false" ht="14.25" hidden="false" customHeight="true" outlineLevel="0" collapsed="false">
      <c r="A53" s="3" t="s">
        <v>509</v>
      </c>
      <c r="B53" s="3" t="s">
        <v>145</v>
      </c>
      <c r="C53" s="3" t="s">
        <v>12</v>
      </c>
      <c r="D53" s="3" t="n">
        <v>9</v>
      </c>
      <c r="E53" s="3" t="s">
        <v>448</v>
      </c>
      <c r="F53" s="3" t="n">
        <v>30</v>
      </c>
    </row>
    <row r="54" customFormat="false" ht="14.25" hidden="false" customHeight="true" outlineLevel="0" collapsed="false">
      <c r="A54" s="3" t="s">
        <v>510</v>
      </c>
      <c r="B54" s="3" t="s">
        <v>147</v>
      </c>
      <c r="C54" s="3" t="s">
        <v>12</v>
      </c>
      <c r="D54" s="3" t="n">
        <v>8</v>
      </c>
      <c r="E54" s="3" t="s">
        <v>474</v>
      </c>
      <c r="F54" s="3" t="n">
        <v>45</v>
      </c>
    </row>
    <row r="55" customFormat="false" ht="14.25" hidden="false" customHeight="true" outlineLevel="0" collapsed="false">
      <c r="A55" s="3" t="s">
        <v>511</v>
      </c>
      <c r="B55" s="3" t="s">
        <v>149</v>
      </c>
      <c r="C55" s="3" t="s">
        <v>12</v>
      </c>
      <c r="D55" s="3" t="n">
        <v>9</v>
      </c>
      <c r="E55" s="3" t="s">
        <v>450</v>
      </c>
      <c r="F55" s="3" t="n">
        <v>30</v>
      </c>
    </row>
    <row r="56" customFormat="false" ht="14.25" hidden="false" customHeight="true" outlineLevel="0" collapsed="false">
      <c r="A56" s="3" t="s">
        <v>512</v>
      </c>
      <c r="B56" s="3" t="s">
        <v>350</v>
      </c>
      <c r="C56" s="3" t="s">
        <v>24</v>
      </c>
      <c r="D56" s="3" t="n">
        <v>4</v>
      </c>
      <c r="E56" s="3" t="s">
        <v>444</v>
      </c>
      <c r="F56" s="3" t="n">
        <v>45</v>
      </c>
    </row>
    <row r="57" customFormat="false" ht="14.25" hidden="false" customHeight="true" outlineLevel="0" collapsed="false">
      <c r="A57" s="3" t="s">
        <v>513</v>
      </c>
      <c r="B57" s="3" t="s">
        <v>151</v>
      </c>
      <c r="C57" s="3" t="s">
        <v>71</v>
      </c>
      <c r="D57" s="3" t="n">
        <v>4</v>
      </c>
      <c r="E57" s="3" t="s">
        <v>444</v>
      </c>
      <c r="F57" s="3" t="n">
        <v>45</v>
      </c>
    </row>
    <row r="58" customFormat="false" ht="14.25" hidden="false" customHeight="true" outlineLevel="0" collapsed="false">
      <c r="A58" s="3" t="s">
        <v>514</v>
      </c>
      <c r="B58" s="3" t="s">
        <v>153</v>
      </c>
      <c r="C58" s="3" t="s">
        <v>24</v>
      </c>
      <c r="D58" s="3" t="n">
        <v>3</v>
      </c>
      <c r="E58" s="3" t="s">
        <v>463</v>
      </c>
      <c r="F58" s="3" t="n">
        <v>45</v>
      </c>
    </row>
    <row r="59" customFormat="false" ht="14.25" hidden="false" customHeight="true" outlineLevel="0" collapsed="false">
      <c r="A59" s="3" t="s">
        <v>515</v>
      </c>
      <c r="B59" s="3" t="s">
        <v>157</v>
      </c>
      <c r="C59" s="3" t="s">
        <v>77</v>
      </c>
      <c r="D59" s="3" t="n">
        <v>3</v>
      </c>
      <c r="E59" s="3" t="s">
        <v>446</v>
      </c>
      <c r="F59" s="3" t="n">
        <v>45</v>
      </c>
    </row>
    <row r="60" customFormat="false" ht="14.25" hidden="false" customHeight="true" outlineLevel="0" collapsed="false">
      <c r="A60" s="3" t="s">
        <v>516</v>
      </c>
      <c r="B60" s="3" t="s">
        <v>159</v>
      </c>
      <c r="C60" s="3" t="s">
        <v>71</v>
      </c>
      <c r="D60" s="3" t="n">
        <v>9</v>
      </c>
      <c r="E60" s="3" t="s">
        <v>497</v>
      </c>
      <c r="F60" s="3" t="n">
        <v>30</v>
      </c>
    </row>
    <row r="61" customFormat="false" ht="14.25" hidden="false" customHeight="true" outlineLevel="0" collapsed="false">
      <c r="A61" s="3" t="s">
        <v>517</v>
      </c>
      <c r="B61" s="3" t="s">
        <v>161</v>
      </c>
      <c r="C61" s="3" t="s">
        <v>24</v>
      </c>
      <c r="D61" s="3" t="n">
        <v>9</v>
      </c>
      <c r="E61" s="3" t="s">
        <v>450</v>
      </c>
      <c r="F61" s="3" t="n">
        <v>30</v>
      </c>
    </row>
    <row r="62" customFormat="false" ht="14.25" hidden="false" customHeight="true" outlineLevel="0" collapsed="false">
      <c r="A62" s="3" t="s">
        <v>518</v>
      </c>
      <c r="B62" s="3" t="s">
        <v>163</v>
      </c>
      <c r="C62" s="3" t="s">
        <v>24</v>
      </c>
      <c r="D62" s="3" t="n">
        <v>6</v>
      </c>
      <c r="E62" s="3" t="s">
        <v>468</v>
      </c>
      <c r="F62" s="3" t="n">
        <v>45</v>
      </c>
    </row>
    <row r="63" customFormat="false" ht="14.25" hidden="false" customHeight="true" outlineLevel="0" collapsed="false">
      <c r="A63" s="3" t="s">
        <v>519</v>
      </c>
      <c r="B63" s="3" t="s">
        <v>165</v>
      </c>
      <c r="C63" s="3" t="s">
        <v>71</v>
      </c>
      <c r="D63" s="3" t="n">
        <v>9</v>
      </c>
      <c r="E63" s="3" t="s">
        <v>450</v>
      </c>
      <c r="F63" s="3" t="n">
        <v>30</v>
      </c>
    </row>
    <row r="64" customFormat="false" ht="14.25" hidden="false" customHeight="true" outlineLevel="0" collapsed="false">
      <c r="A64" s="3" t="s">
        <v>520</v>
      </c>
      <c r="B64" s="3" t="s">
        <v>167</v>
      </c>
      <c r="C64" s="3" t="s">
        <v>12</v>
      </c>
      <c r="D64" s="3" t="n">
        <v>5</v>
      </c>
      <c r="E64" s="3" t="s">
        <v>470</v>
      </c>
      <c r="F64" s="3" t="n">
        <v>45</v>
      </c>
    </row>
    <row r="65" customFormat="false" ht="14.25" hidden="false" customHeight="true" outlineLevel="0" collapsed="false">
      <c r="A65" s="3" t="s">
        <v>521</v>
      </c>
      <c r="B65" s="3" t="s">
        <v>169</v>
      </c>
      <c r="C65" s="3" t="s">
        <v>24</v>
      </c>
      <c r="D65" s="3" t="n">
        <v>7</v>
      </c>
      <c r="E65" s="3" t="s">
        <v>454</v>
      </c>
      <c r="F65" s="3" t="n">
        <v>45</v>
      </c>
    </row>
    <row r="66" customFormat="false" ht="14.25" hidden="false" customHeight="true" outlineLevel="0" collapsed="false">
      <c r="A66" s="3" t="s">
        <v>522</v>
      </c>
      <c r="B66" s="3" t="s">
        <v>171</v>
      </c>
      <c r="C66" s="3" t="s">
        <v>77</v>
      </c>
      <c r="D66" s="3" t="n">
        <v>8</v>
      </c>
      <c r="E66" s="3" t="s">
        <v>452</v>
      </c>
      <c r="F66" s="3" t="n">
        <v>45</v>
      </c>
    </row>
    <row r="67" customFormat="false" ht="14.25" hidden="false" customHeight="true" outlineLevel="0" collapsed="false">
      <c r="A67" s="3" t="s">
        <v>523</v>
      </c>
      <c r="B67" s="3" t="s">
        <v>14</v>
      </c>
      <c r="C67" s="3" t="s">
        <v>71</v>
      </c>
      <c r="D67" s="3" t="n">
        <v>9</v>
      </c>
      <c r="E67" s="3" t="s">
        <v>450</v>
      </c>
      <c r="F67" s="3" t="n">
        <v>30</v>
      </c>
    </row>
    <row r="68" customFormat="false" ht="14.25" hidden="false" customHeight="true" outlineLevel="0" collapsed="false">
      <c r="A68" s="3" t="s">
        <v>524</v>
      </c>
      <c r="B68" s="3" t="s">
        <v>173</v>
      </c>
      <c r="C68" s="3" t="s">
        <v>77</v>
      </c>
      <c r="D68" s="3" t="n">
        <v>3</v>
      </c>
      <c r="E68" s="3" t="s">
        <v>463</v>
      </c>
      <c r="F68" s="3" t="n">
        <v>45</v>
      </c>
    </row>
    <row r="69" customFormat="false" ht="14.25" hidden="false" customHeight="true" outlineLevel="0" collapsed="false">
      <c r="A69" s="3" t="s">
        <v>525</v>
      </c>
      <c r="B69" s="3" t="s">
        <v>175</v>
      </c>
      <c r="C69" s="3" t="s">
        <v>71</v>
      </c>
      <c r="D69" s="3" t="n">
        <v>8</v>
      </c>
      <c r="E69" s="3" t="s">
        <v>474</v>
      </c>
      <c r="F69" s="3" t="n">
        <v>45</v>
      </c>
    </row>
    <row r="70" customFormat="false" ht="14.25" hidden="false" customHeight="true" outlineLevel="0" collapsed="false">
      <c r="A70" s="3" t="s">
        <v>526</v>
      </c>
      <c r="B70" s="3" t="s">
        <v>177</v>
      </c>
      <c r="C70" s="3" t="s">
        <v>77</v>
      </c>
      <c r="D70" s="3" t="n">
        <v>9</v>
      </c>
      <c r="E70" s="3" t="s">
        <v>481</v>
      </c>
      <c r="F70" s="3" t="n">
        <v>30</v>
      </c>
    </row>
    <row r="71" customFormat="false" ht="14.25" hidden="false" customHeight="true" outlineLevel="0" collapsed="false">
      <c r="A71" s="3" t="s">
        <v>527</v>
      </c>
      <c r="B71" s="3" t="s">
        <v>295</v>
      </c>
      <c r="C71" s="3" t="s">
        <v>12</v>
      </c>
      <c r="D71" s="3" t="n">
        <v>9</v>
      </c>
      <c r="E71" s="3" t="s">
        <v>450</v>
      </c>
      <c r="F71" s="3" t="n">
        <v>30</v>
      </c>
    </row>
    <row r="72" customFormat="false" ht="14.25" hidden="false" customHeight="true" outlineLevel="0" collapsed="false">
      <c r="A72" s="3" t="s">
        <v>528</v>
      </c>
      <c r="B72" s="3" t="s">
        <v>183</v>
      </c>
      <c r="C72" s="3" t="s">
        <v>24</v>
      </c>
      <c r="D72" s="3" t="n">
        <v>9</v>
      </c>
      <c r="E72" s="3" t="s">
        <v>497</v>
      </c>
      <c r="F72" s="3" t="n">
        <v>30</v>
      </c>
    </row>
    <row r="73" customFormat="false" ht="14.25" hidden="false" customHeight="true" outlineLevel="0" collapsed="false">
      <c r="A73" s="3" t="s">
        <v>529</v>
      </c>
      <c r="B73" s="3" t="s">
        <v>185</v>
      </c>
      <c r="C73" s="3" t="s">
        <v>16</v>
      </c>
      <c r="D73" s="3" t="n">
        <v>8</v>
      </c>
      <c r="E73" s="3" t="s">
        <v>474</v>
      </c>
      <c r="F73" s="3" t="n">
        <v>45</v>
      </c>
    </row>
    <row r="74" customFormat="false" ht="14.25" hidden="false" customHeight="true" outlineLevel="0" collapsed="false">
      <c r="A74" s="3" t="s">
        <v>530</v>
      </c>
      <c r="B74" s="3" t="s">
        <v>187</v>
      </c>
      <c r="C74" s="3" t="s">
        <v>24</v>
      </c>
      <c r="D74" s="3" t="n">
        <v>8</v>
      </c>
      <c r="E74" s="3" t="s">
        <v>474</v>
      </c>
      <c r="F74" s="3" t="n">
        <v>45</v>
      </c>
    </row>
    <row r="75" customFormat="false" ht="14.25" hidden="false" customHeight="true" outlineLevel="0" collapsed="false">
      <c r="A75" s="3" t="s">
        <v>531</v>
      </c>
      <c r="B75" s="3" t="s">
        <v>189</v>
      </c>
      <c r="C75" s="3" t="s">
        <v>29</v>
      </c>
      <c r="D75" s="3" t="n">
        <v>9</v>
      </c>
      <c r="E75" s="3" t="s">
        <v>448</v>
      </c>
      <c r="F75" s="3" t="n">
        <v>30</v>
      </c>
    </row>
    <row r="76" customFormat="false" ht="14.25" hidden="false" customHeight="true" outlineLevel="0" collapsed="false">
      <c r="A76" s="3" t="s">
        <v>532</v>
      </c>
      <c r="B76" s="3" t="s">
        <v>191</v>
      </c>
      <c r="C76" s="3" t="s">
        <v>12</v>
      </c>
      <c r="D76" s="3" t="n">
        <v>8</v>
      </c>
      <c r="E76" s="3" t="s">
        <v>474</v>
      </c>
      <c r="F76" s="3" t="n">
        <v>45</v>
      </c>
    </row>
    <row r="77" customFormat="false" ht="14.25" hidden="false" customHeight="true" outlineLevel="0" collapsed="false">
      <c r="A77" s="3" t="s">
        <v>533</v>
      </c>
      <c r="B77" s="3" t="s">
        <v>193</v>
      </c>
      <c r="C77" s="3" t="s">
        <v>71</v>
      </c>
      <c r="D77" s="3" t="n">
        <v>4</v>
      </c>
      <c r="E77" s="3" t="s">
        <v>444</v>
      </c>
      <c r="F77" s="3" t="n">
        <v>45</v>
      </c>
    </row>
    <row r="78" customFormat="false" ht="14.25" hidden="false" customHeight="true" outlineLevel="0" collapsed="false">
      <c r="A78" s="3" t="s">
        <v>534</v>
      </c>
      <c r="B78" s="3" t="s">
        <v>195</v>
      </c>
      <c r="C78" s="3" t="s">
        <v>24</v>
      </c>
      <c r="D78" s="3" t="n">
        <v>6</v>
      </c>
      <c r="E78" s="3" t="s">
        <v>468</v>
      </c>
      <c r="F78" s="3" t="n">
        <v>45</v>
      </c>
    </row>
    <row r="79" customFormat="false" ht="14.25" hidden="false" customHeight="true" outlineLevel="0" collapsed="false">
      <c r="A79" s="3" t="s">
        <v>535</v>
      </c>
      <c r="B79" s="3" t="s">
        <v>197</v>
      </c>
      <c r="C79" s="3" t="s">
        <v>16</v>
      </c>
      <c r="D79" s="3" t="n">
        <v>8</v>
      </c>
      <c r="E79" s="3" t="s">
        <v>474</v>
      </c>
      <c r="F79" s="3" t="n">
        <v>45</v>
      </c>
    </row>
    <row r="80" customFormat="false" ht="14.25" hidden="false" customHeight="true" outlineLevel="0" collapsed="false">
      <c r="A80" s="3" t="s">
        <v>536</v>
      </c>
      <c r="B80" s="3" t="s">
        <v>431</v>
      </c>
      <c r="C80" s="3" t="s">
        <v>77</v>
      </c>
      <c r="D80" s="3" t="n">
        <v>4</v>
      </c>
      <c r="E80" s="3" t="s">
        <v>444</v>
      </c>
      <c r="F80" s="3" t="n">
        <v>45</v>
      </c>
    </row>
    <row r="81" customFormat="false" ht="14.25" hidden="false" customHeight="true" outlineLevel="0" collapsed="false">
      <c r="A81" s="3" t="s">
        <v>537</v>
      </c>
      <c r="B81" s="3" t="s">
        <v>203</v>
      </c>
      <c r="C81" s="3" t="s">
        <v>71</v>
      </c>
      <c r="D81" s="3" t="n">
        <v>3</v>
      </c>
      <c r="E81" s="3" t="s">
        <v>463</v>
      </c>
      <c r="F81" s="3" t="n">
        <v>45</v>
      </c>
    </row>
    <row r="82" customFormat="false" ht="14.25" hidden="false" customHeight="true" outlineLevel="0" collapsed="false">
      <c r="A82" s="3" t="s">
        <v>538</v>
      </c>
      <c r="B82" s="3" t="s">
        <v>313</v>
      </c>
      <c r="C82" s="3" t="s">
        <v>12</v>
      </c>
      <c r="D82" s="3" t="n">
        <v>7</v>
      </c>
      <c r="E82" s="3" t="s">
        <v>454</v>
      </c>
      <c r="F82" s="3" t="n">
        <v>45</v>
      </c>
    </row>
    <row r="83" customFormat="false" ht="14.25" hidden="false" customHeight="true" outlineLevel="0" collapsed="false">
      <c r="A83" s="3" t="s">
        <v>539</v>
      </c>
      <c r="B83" s="3" t="s">
        <v>207</v>
      </c>
      <c r="C83" s="3" t="s">
        <v>12</v>
      </c>
      <c r="D83" s="3" t="n">
        <v>4</v>
      </c>
      <c r="E83" s="3" t="s">
        <v>461</v>
      </c>
      <c r="F83" s="3" t="n">
        <v>45</v>
      </c>
    </row>
    <row r="84" customFormat="false" ht="14.25" hidden="false" customHeight="true" outlineLevel="0" collapsed="false">
      <c r="A84" s="3" t="s">
        <v>540</v>
      </c>
      <c r="B84" s="3" t="s">
        <v>209</v>
      </c>
      <c r="C84" s="3" t="s">
        <v>71</v>
      </c>
      <c r="D84" s="3" t="n">
        <v>9</v>
      </c>
      <c r="E84" s="3" t="s">
        <v>481</v>
      </c>
      <c r="F84" s="3" t="n">
        <v>30</v>
      </c>
    </row>
    <row r="85" customFormat="false" ht="14.25" hidden="false" customHeight="true" outlineLevel="0" collapsed="false">
      <c r="A85" s="3" t="s">
        <v>541</v>
      </c>
      <c r="B85" s="3" t="s">
        <v>199</v>
      </c>
      <c r="C85" s="3" t="s">
        <v>71</v>
      </c>
      <c r="D85" s="3" t="n">
        <v>9</v>
      </c>
      <c r="E85" s="3" t="s">
        <v>448</v>
      </c>
      <c r="F85" s="3" t="n">
        <v>30</v>
      </c>
    </row>
    <row r="86" customFormat="false" ht="14.25" hidden="false" customHeight="true" outlineLevel="0" collapsed="false">
      <c r="A86" s="3" t="s">
        <v>542</v>
      </c>
      <c r="B86" s="3" t="s">
        <v>212</v>
      </c>
      <c r="C86" s="3" t="s">
        <v>29</v>
      </c>
      <c r="D86" s="3" t="n">
        <v>9</v>
      </c>
      <c r="E86" s="3" t="s">
        <v>481</v>
      </c>
      <c r="F86" s="3" t="n">
        <v>30</v>
      </c>
    </row>
    <row r="87" customFormat="false" ht="14.25" hidden="false" customHeight="true" outlineLevel="0" collapsed="false">
      <c r="A87" s="3" t="s">
        <v>543</v>
      </c>
      <c r="B87" s="3" t="s">
        <v>214</v>
      </c>
      <c r="C87" s="3" t="s">
        <v>12</v>
      </c>
      <c r="D87" s="3" t="n">
        <v>8</v>
      </c>
      <c r="E87" s="3" t="s">
        <v>474</v>
      </c>
      <c r="F87" s="3" t="n">
        <v>45</v>
      </c>
    </row>
    <row r="88" customFormat="false" ht="14.25" hidden="false" customHeight="true" outlineLevel="0" collapsed="false">
      <c r="A88" s="3" t="s">
        <v>544</v>
      </c>
      <c r="B88" s="3" t="s">
        <v>216</v>
      </c>
      <c r="C88" s="3" t="s">
        <v>71</v>
      </c>
      <c r="D88" s="3" t="n">
        <v>7</v>
      </c>
      <c r="E88" s="3" t="s">
        <v>457</v>
      </c>
      <c r="F88" s="3" t="n">
        <v>45</v>
      </c>
    </row>
    <row r="89" customFormat="false" ht="14.25" hidden="false" customHeight="true" outlineLevel="0" collapsed="false">
      <c r="A89" s="3" t="s">
        <v>545</v>
      </c>
      <c r="B89" s="3" t="s">
        <v>218</v>
      </c>
      <c r="C89" s="3" t="s">
        <v>29</v>
      </c>
      <c r="D89" s="3" t="n">
        <v>8</v>
      </c>
      <c r="E89" s="3" t="s">
        <v>452</v>
      </c>
      <c r="F89" s="3" t="n">
        <v>45</v>
      </c>
    </row>
    <row r="90" customFormat="false" ht="14.25" hidden="false" customHeight="true" outlineLevel="0" collapsed="false">
      <c r="A90" s="3" t="s">
        <v>546</v>
      </c>
      <c r="B90" s="3" t="s">
        <v>220</v>
      </c>
      <c r="C90" s="3" t="s">
        <v>16</v>
      </c>
      <c r="D90" s="3" t="n">
        <v>7</v>
      </c>
      <c r="E90" s="3" t="s">
        <v>454</v>
      </c>
      <c r="F90" s="3" t="n">
        <v>45</v>
      </c>
    </row>
    <row r="91" customFormat="false" ht="14.25" hidden="false" customHeight="true" outlineLevel="0" collapsed="false">
      <c r="A91" s="3" t="s">
        <v>547</v>
      </c>
      <c r="B91" s="3" t="s">
        <v>223</v>
      </c>
      <c r="C91" s="3" t="s">
        <v>16</v>
      </c>
      <c r="D91" s="3" t="n">
        <v>4</v>
      </c>
      <c r="E91" s="3" t="s">
        <v>461</v>
      </c>
      <c r="F91" s="3" t="n">
        <v>45</v>
      </c>
    </row>
    <row r="92" customFormat="false" ht="14.25" hidden="false" customHeight="true" outlineLevel="0" collapsed="false">
      <c r="A92" s="3" t="s">
        <v>548</v>
      </c>
      <c r="B92" s="3" t="s">
        <v>225</v>
      </c>
      <c r="C92" s="3" t="s">
        <v>77</v>
      </c>
      <c r="D92" s="3" t="n">
        <v>8</v>
      </c>
      <c r="E92" s="3" t="s">
        <v>474</v>
      </c>
      <c r="F92" s="3" t="n">
        <v>45</v>
      </c>
    </row>
    <row r="93" customFormat="false" ht="14.25" hidden="false" customHeight="true" outlineLevel="0" collapsed="false">
      <c r="A93" s="3" t="s">
        <v>549</v>
      </c>
      <c r="B93" s="3" t="s">
        <v>227</v>
      </c>
      <c r="C93" s="3" t="s">
        <v>29</v>
      </c>
      <c r="D93" s="3" t="n">
        <v>7</v>
      </c>
      <c r="E93" s="3" t="s">
        <v>454</v>
      </c>
      <c r="F93" s="3" t="n">
        <v>45</v>
      </c>
    </row>
    <row r="94" customFormat="false" ht="14.25" hidden="false" customHeight="true" outlineLevel="0" collapsed="false">
      <c r="A94" s="3" t="s">
        <v>550</v>
      </c>
      <c r="B94" s="3" t="s">
        <v>229</v>
      </c>
      <c r="C94" s="3" t="s">
        <v>16</v>
      </c>
      <c r="D94" s="3" t="n">
        <v>4</v>
      </c>
      <c r="E94" s="3" t="s">
        <v>461</v>
      </c>
      <c r="F94" s="3" t="n">
        <v>45</v>
      </c>
    </row>
    <row r="95" customFormat="false" ht="14.25" hidden="false" customHeight="true" outlineLevel="0" collapsed="false">
      <c r="A95" s="3" t="s">
        <v>551</v>
      </c>
      <c r="B95" s="3" t="s">
        <v>231</v>
      </c>
      <c r="C95" s="3" t="s">
        <v>71</v>
      </c>
      <c r="D95" s="3" t="n">
        <v>9</v>
      </c>
      <c r="E95" s="3" t="s">
        <v>481</v>
      </c>
      <c r="F95" s="3" t="n">
        <v>30</v>
      </c>
    </row>
    <row r="96" customFormat="false" ht="14.25" hidden="false" customHeight="true" outlineLevel="0" collapsed="false">
      <c r="A96" s="3" t="s">
        <v>552</v>
      </c>
      <c r="B96" s="3" t="s">
        <v>233</v>
      </c>
      <c r="C96" s="3" t="s">
        <v>77</v>
      </c>
      <c r="D96" s="3" t="n">
        <v>6</v>
      </c>
      <c r="E96" s="3" t="s">
        <v>468</v>
      </c>
      <c r="F96" s="3" t="n">
        <v>45</v>
      </c>
    </row>
    <row r="97" customFormat="false" ht="14.25" hidden="false" customHeight="true" outlineLevel="0" collapsed="false">
      <c r="A97" s="3" t="s">
        <v>553</v>
      </c>
      <c r="B97" s="3" t="s">
        <v>235</v>
      </c>
      <c r="C97" s="3" t="s">
        <v>29</v>
      </c>
      <c r="D97" s="3" t="n">
        <v>9</v>
      </c>
      <c r="E97" s="3" t="s">
        <v>450</v>
      </c>
      <c r="F97" s="3" t="n">
        <v>30</v>
      </c>
    </row>
    <row r="98" customFormat="false" ht="14.25" hidden="false" customHeight="true" outlineLevel="0" collapsed="false">
      <c r="A98" s="3" t="s">
        <v>554</v>
      </c>
      <c r="B98" s="3" t="s">
        <v>237</v>
      </c>
      <c r="C98" s="3" t="s">
        <v>24</v>
      </c>
      <c r="D98" s="3" t="n">
        <v>4</v>
      </c>
      <c r="E98" s="3" t="s">
        <v>461</v>
      </c>
      <c r="F98" s="3" t="n">
        <v>45</v>
      </c>
    </row>
    <row r="99" customFormat="false" ht="14.25" hidden="false" customHeight="true" outlineLevel="0" collapsed="false">
      <c r="A99" s="3" t="s">
        <v>555</v>
      </c>
      <c r="B99" s="3" t="s">
        <v>239</v>
      </c>
      <c r="C99" s="3" t="s">
        <v>12</v>
      </c>
      <c r="D99" s="3" t="n">
        <v>4</v>
      </c>
      <c r="E99" s="3" t="s">
        <v>444</v>
      </c>
      <c r="F99" s="3" t="n">
        <v>45</v>
      </c>
    </row>
    <row r="100" customFormat="false" ht="14.25" hidden="false" customHeight="true" outlineLevel="0" collapsed="false">
      <c r="A100" s="3" t="s">
        <v>556</v>
      </c>
      <c r="B100" s="3" t="s">
        <v>23</v>
      </c>
      <c r="C100" s="3" t="s">
        <v>71</v>
      </c>
      <c r="D100" s="3" t="n">
        <v>6</v>
      </c>
      <c r="E100" s="3" t="s">
        <v>468</v>
      </c>
      <c r="F100" s="3" t="n">
        <v>45</v>
      </c>
    </row>
    <row r="101" customFormat="false" ht="14.25" hidden="false" customHeight="true" outlineLevel="0" collapsed="false">
      <c r="A101" s="3" t="s">
        <v>557</v>
      </c>
      <c r="B101" s="3" t="s">
        <v>244</v>
      </c>
      <c r="C101" s="3" t="s">
        <v>16</v>
      </c>
      <c r="D101" s="3" t="n">
        <v>9</v>
      </c>
      <c r="E101" s="3" t="s">
        <v>448</v>
      </c>
      <c r="F101" s="3" t="n">
        <v>30</v>
      </c>
    </row>
    <row r="102" customFormat="false" ht="14.25" hidden="false" customHeight="true" outlineLevel="0" collapsed="false">
      <c r="A102" s="3" t="s">
        <v>558</v>
      </c>
      <c r="B102" s="3" t="s">
        <v>246</v>
      </c>
      <c r="C102" s="3" t="s">
        <v>29</v>
      </c>
      <c r="D102" s="3" t="n">
        <v>8</v>
      </c>
      <c r="E102" s="3" t="s">
        <v>474</v>
      </c>
      <c r="F102" s="3" t="n">
        <v>45</v>
      </c>
    </row>
    <row r="103" customFormat="false" ht="14.25" hidden="false" customHeight="true" outlineLevel="0" collapsed="false">
      <c r="A103" s="3" t="s">
        <v>559</v>
      </c>
      <c r="B103" s="3" t="s">
        <v>248</v>
      </c>
      <c r="C103" s="3" t="s">
        <v>24</v>
      </c>
      <c r="D103" s="3" t="n">
        <v>4</v>
      </c>
      <c r="E103" s="3" t="s">
        <v>444</v>
      </c>
      <c r="F103" s="3" t="n">
        <v>45</v>
      </c>
    </row>
    <row r="104" customFormat="false" ht="14.25" hidden="false" customHeight="true" outlineLevel="0" collapsed="false">
      <c r="A104" s="3" t="s">
        <v>560</v>
      </c>
      <c r="B104" s="3" t="s">
        <v>250</v>
      </c>
      <c r="C104" s="3" t="s">
        <v>24</v>
      </c>
      <c r="D104" s="3" t="n">
        <v>7</v>
      </c>
      <c r="E104" s="3" t="s">
        <v>454</v>
      </c>
      <c r="F104" s="3" t="n">
        <v>45</v>
      </c>
    </row>
    <row r="105" customFormat="false" ht="14.25" hidden="false" customHeight="true" outlineLevel="0" collapsed="false">
      <c r="A105" s="3" t="s">
        <v>561</v>
      </c>
      <c r="B105" s="3" t="s">
        <v>252</v>
      </c>
      <c r="C105" s="3" t="s">
        <v>9</v>
      </c>
      <c r="D105" s="3" t="n">
        <v>6.27</v>
      </c>
      <c r="E105" s="3" t="s">
        <v>9</v>
      </c>
      <c r="F105" s="3" t="s">
        <v>9</v>
      </c>
    </row>
    <row r="106" customFormat="false" ht="14.25" hidden="false" customHeight="true" outlineLevel="0" collapsed="false">
      <c r="A106" s="3" t="s">
        <v>562</v>
      </c>
      <c r="B106" s="3" t="s">
        <v>27</v>
      </c>
      <c r="C106" s="3" t="s">
        <v>77</v>
      </c>
      <c r="D106" s="3" t="n">
        <v>4</v>
      </c>
      <c r="E106" s="3" t="s">
        <v>444</v>
      </c>
      <c r="F106" s="3" t="n">
        <v>45</v>
      </c>
    </row>
    <row r="107" customFormat="false" ht="14.25" hidden="false" customHeight="true" outlineLevel="0" collapsed="false">
      <c r="A107" s="3" t="s">
        <v>563</v>
      </c>
      <c r="B107" s="3" t="s">
        <v>256</v>
      </c>
      <c r="C107" s="3" t="s">
        <v>16</v>
      </c>
      <c r="D107" s="3" t="n">
        <v>8</v>
      </c>
      <c r="E107" s="3" t="s">
        <v>452</v>
      </c>
      <c r="F107" s="3" t="n">
        <v>45</v>
      </c>
    </row>
    <row r="108" customFormat="false" ht="14.25" hidden="false" customHeight="true" outlineLevel="0" collapsed="false">
      <c r="A108" s="3" t="s">
        <v>564</v>
      </c>
      <c r="B108" s="3" t="s">
        <v>258</v>
      </c>
      <c r="C108" s="3" t="s">
        <v>12</v>
      </c>
      <c r="D108" s="3" t="n">
        <v>8</v>
      </c>
      <c r="E108" s="3" t="s">
        <v>474</v>
      </c>
      <c r="F108" s="3" t="n">
        <v>45</v>
      </c>
    </row>
    <row r="109" customFormat="false" ht="14.25" hidden="false" customHeight="true" outlineLevel="0" collapsed="false">
      <c r="A109" s="3" t="s">
        <v>565</v>
      </c>
      <c r="B109" s="3" t="s">
        <v>260</v>
      </c>
      <c r="C109" s="3" t="s">
        <v>71</v>
      </c>
      <c r="D109" s="3" t="n">
        <v>9</v>
      </c>
      <c r="E109" s="3" t="s">
        <v>481</v>
      </c>
      <c r="F109" s="3" t="n">
        <v>30</v>
      </c>
    </row>
    <row r="110" customFormat="false" ht="14.25" hidden="false" customHeight="true" outlineLevel="0" collapsed="false">
      <c r="A110" s="3" t="s">
        <v>566</v>
      </c>
      <c r="B110" s="3" t="s">
        <v>262</v>
      </c>
      <c r="C110" s="3" t="s">
        <v>29</v>
      </c>
      <c r="D110" s="3" t="n">
        <v>6</v>
      </c>
      <c r="E110" s="3" t="s">
        <v>468</v>
      </c>
      <c r="F110" s="3" t="n">
        <v>45</v>
      </c>
    </row>
    <row r="111" customFormat="false" ht="14.25" hidden="false" customHeight="true" outlineLevel="0" collapsed="false">
      <c r="A111" s="3" t="s">
        <v>567</v>
      </c>
      <c r="B111" s="3" t="s">
        <v>264</v>
      </c>
      <c r="C111" s="3" t="s">
        <v>29</v>
      </c>
      <c r="D111" s="3" t="n">
        <v>6</v>
      </c>
      <c r="E111" s="3" t="s">
        <v>468</v>
      </c>
      <c r="F111" s="3" t="n">
        <v>45</v>
      </c>
    </row>
    <row r="112" customFormat="false" ht="14.25" hidden="false" customHeight="true" outlineLevel="0" collapsed="false">
      <c r="A112" s="3" t="s">
        <v>568</v>
      </c>
      <c r="B112" s="3" t="s">
        <v>266</v>
      </c>
      <c r="C112" s="3" t="s">
        <v>77</v>
      </c>
      <c r="D112" s="3" t="n">
        <v>4</v>
      </c>
      <c r="E112" s="3" t="s">
        <v>444</v>
      </c>
      <c r="F112" s="3" t="n">
        <v>45</v>
      </c>
    </row>
    <row r="113" customFormat="false" ht="14.25" hidden="false" customHeight="true" outlineLevel="0" collapsed="false">
      <c r="A113" s="3" t="s">
        <v>569</v>
      </c>
      <c r="B113" s="3" t="s">
        <v>268</v>
      </c>
      <c r="C113" s="3" t="s">
        <v>71</v>
      </c>
      <c r="D113" s="3" t="n">
        <v>3</v>
      </c>
      <c r="E113" s="3" t="s">
        <v>463</v>
      </c>
      <c r="F113" s="3" t="n">
        <v>45</v>
      </c>
    </row>
    <row r="114" customFormat="false" ht="14.25" hidden="false" customHeight="true" outlineLevel="0" collapsed="false">
      <c r="A114" s="3" t="s">
        <v>570</v>
      </c>
      <c r="B114" s="3" t="s">
        <v>205</v>
      </c>
      <c r="C114" s="3" t="s">
        <v>29</v>
      </c>
      <c r="D114" s="3" t="n">
        <v>4</v>
      </c>
      <c r="E114" s="3" t="s">
        <v>444</v>
      </c>
      <c r="F114" s="3" t="n">
        <v>45</v>
      </c>
    </row>
    <row r="115" customFormat="false" ht="14.25" hidden="false" customHeight="true" outlineLevel="0" collapsed="false">
      <c r="A115" s="3" t="s">
        <v>571</v>
      </c>
      <c r="B115" s="3" t="s">
        <v>270</v>
      </c>
      <c r="C115" s="3" t="s">
        <v>71</v>
      </c>
      <c r="D115" s="3" t="n">
        <v>4</v>
      </c>
      <c r="E115" s="3" t="s">
        <v>461</v>
      </c>
      <c r="F115" s="3" t="n">
        <v>45</v>
      </c>
    </row>
    <row r="116" customFormat="false" ht="14.25" hidden="false" customHeight="true" outlineLevel="0" collapsed="false">
      <c r="A116" s="3" t="s">
        <v>572</v>
      </c>
      <c r="B116" s="3" t="s">
        <v>272</v>
      </c>
      <c r="C116" s="3" t="s">
        <v>29</v>
      </c>
      <c r="D116" s="3" t="n">
        <v>3</v>
      </c>
      <c r="E116" s="3" t="s">
        <v>463</v>
      </c>
      <c r="F116" s="3" t="n">
        <v>45</v>
      </c>
    </row>
    <row r="117" customFormat="false" ht="14.25" hidden="false" customHeight="true" outlineLevel="0" collapsed="false">
      <c r="A117" s="3" t="s">
        <v>573</v>
      </c>
      <c r="B117" s="3" t="s">
        <v>274</v>
      </c>
      <c r="C117" s="3" t="s">
        <v>77</v>
      </c>
      <c r="D117" s="3" t="n">
        <v>7</v>
      </c>
      <c r="E117" s="3" t="s">
        <v>454</v>
      </c>
      <c r="F117" s="3" t="n">
        <v>45</v>
      </c>
    </row>
    <row r="118" customFormat="false" ht="14.25" hidden="false" customHeight="true" outlineLevel="0" collapsed="false">
      <c r="A118" s="3" t="s">
        <v>574</v>
      </c>
      <c r="B118" s="3" t="s">
        <v>276</v>
      </c>
      <c r="C118" s="3" t="s">
        <v>71</v>
      </c>
      <c r="D118" s="3" t="n">
        <v>9</v>
      </c>
      <c r="E118" s="3" t="s">
        <v>450</v>
      </c>
      <c r="F118" s="3" t="n">
        <v>30</v>
      </c>
    </row>
    <row r="119" customFormat="false" ht="14.25" hidden="false" customHeight="true" outlineLevel="0" collapsed="false">
      <c r="A119" s="3" t="s">
        <v>575</v>
      </c>
      <c r="B119" s="3" t="s">
        <v>278</v>
      </c>
      <c r="C119" s="3" t="s">
        <v>16</v>
      </c>
      <c r="D119" s="3" t="n">
        <v>9</v>
      </c>
      <c r="E119" s="3" t="s">
        <v>497</v>
      </c>
      <c r="F119" s="3" t="n">
        <v>30</v>
      </c>
    </row>
    <row r="120" customFormat="false" ht="14.25" hidden="false" customHeight="true" outlineLevel="0" collapsed="false">
      <c r="A120" s="3" t="s">
        <v>576</v>
      </c>
      <c r="B120" s="3" t="s">
        <v>280</v>
      </c>
      <c r="C120" s="3" t="s">
        <v>24</v>
      </c>
      <c r="D120" s="3" t="n">
        <v>7</v>
      </c>
      <c r="E120" s="3" t="s">
        <v>472</v>
      </c>
      <c r="F120" s="3" t="n">
        <v>45</v>
      </c>
    </row>
    <row r="121" customFormat="false" ht="14.25" hidden="false" customHeight="true" outlineLevel="0" collapsed="false">
      <c r="A121" s="3" t="s">
        <v>577</v>
      </c>
      <c r="B121" s="3" t="s">
        <v>282</v>
      </c>
      <c r="C121" s="3" t="s">
        <v>12</v>
      </c>
      <c r="D121" s="3" t="n">
        <v>8</v>
      </c>
      <c r="E121" s="3" t="s">
        <v>474</v>
      </c>
      <c r="F121" s="3" t="n">
        <v>45</v>
      </c>
    </row>
    <row r="122" customFormat="false" ht="14.25" hidden="false" customHeight="true" outlineLevel="0" collapsed="false">
      <c r="A122" s="3" t="s">
        <v>578</v>
      </c>
      <c r="B122" s="3" t="s">
        <v>285</v>
      </c>
      <c r="C122" s="3" t="s">
        <v>24</v>
      </c>
      <c r="D122" s="3" t="n">
        <v>8</v>
      </c>
      <c r="E122" s="3" t="s">
        <v>452</v>
      </c>
      <c r="F122" s="3" t="n">
        <v>45</v>
      </c>
    </row>
    <row r="123" customFormat="false" ht="14.25" hidden="false" customHeight="true" outlineLevel="0" collapsed="false">
      <c r="A123" s="3" t="s">
        <v>579</v>
      </c>
      <c r="B123" s="3" t="s">
        <v>287</v>
      </c>
      <c r="C123" s="3" t="s">
        <v>12</v>
      </c>
      <c r="D123" s="3" t="n">
        <v>4</v>
      </c>
      <c r="E123" s="3" t="s">
        <v>444</v>
      </c>
      <c r="F123" s="3" t="n">
        <v>45</v>
      </c>
    </row>
    <row r="124" customFormat="false" ht="14.25" hidden="false" customHeight="true" outlineLevel="0" collapsed="false">
      <c r="A124" s="3" t="s">
        <v>580</v>
      </c>
      <c r="B124" s="3" t="s">
        <v>289</v>
      </c>
      <c r="C124" s="3" t="s">
        <v>16</v>
      </c>
      <c r="D124" s="3" t="n">
        <v>3</v>
      </c>
      <c r="E124" s="3" t="s">
        <v>463</v>
      </c>
      <c r="F124" s="3" t="n">
        <v>45</v>
      </c>
    </row>
    <row r="125" customFormat="false" ht="14.25" hidden="false" customHeight="true" outlineLevel="0" collapsed="false">
      <c r="A125" s="3" t="s">
        <v>581</v>
      </c>
      <c r="B125" s="3" t="s">
        <v>291</v>
      </c>
      <c r="C125" s="3" t="s">
        <v>77</v>
      </c>
      <c r="D125" s="3" t="n">
        <v>4</v>
      </c>
      <c r="E125" s="3" t="s">
        <v>444</v>
      </c>
      <c r="F125" s="3" t="n">
        <v>45</v>
      </c>
    </row>
    <row r="126" customFormat="false" ht="14.25" hidden="false" customHeight="true" outlineLevel="0" collapsed="false">
      <c r="A126" s="3" t="s">
        <v>582</v>
      </c>
      <c r="B126" s="3" t="s">
        <v>295</v>
      </c>
      <c r="C126" s="3" t="s">
        <v>16</v>
      </c>
      <c r="D126" s="3" t="n">
        <v>7</v>
      </c>
      <c r="E126" s="3" t="s">
        <v>454</v>
      </c>
      <c r="F126" s="3" t="n">
        <v>45</v>
      </c>
    </row>
    <row r="127" customFormat="false" ht="14.25" hidden="false" customHeight="true" outlineLevel="0" collapsed="false">
      <c r="A127" s="3" t="s">
        <v>583</v>
      </c>
      <c r="B127" s="3" t="s">
        <v>297</v>
      </c>
      <c r="C127" s="3" t="s">
        <v>77</v>
      </c>
      <c r="D127" s="3" t="n">
        <v>7</v>
      </c>
      <c r="E127" s="3" t="s">
        <v>472</v>
      </c>
      <c r="F127" s="3" t="n">
        <v>45</v>
      </c>
    </row>
    <row r="128" customFormat="false" ht="14.25" hidden="false" customHeight="true" outlineLevel="0" collapsed="false">
      <c r="A128" s="3" t="s">
        <v>584</v>
      </c>
      <c r="B128" s="3" t="s">
        <v>299</v>
      </c>
      <c r="C128" s="3" t="s">
        <v>29</v>
      </c>
      <c r="D128" s="3" t="n">
        <v>4</v>
      </c>
      <c r="E128" s="3" t="s">
        <v>444</v>
      </c>
      <c r="F128" s="3" t="n">
        <v>45</v>
      </c>
    </row>
    <row r="129" customFormat="false" ht="14.25" hidden="false" customHeight="true" outlineLevel="0" collapsed="false">
      <c r="A129" s="3" t="s">
        <v>585</v>
      </c>
      <c r="B129" s="3" t="s">
        <v>433</v>
      </c>
      <c r="C129" s="3" t="s">
        <v>71</v>
      </c>
      <c r="D129" s="3" t="n">
        <v>9</v>
      </c>
      <c r="E129" s="3" t="s">
        <v>481</v>
      </c>
      <c r="F129" s="3" t="n">
        <v>30</v>
      </c>
    </row>
    <row r="130" customFormat="false" ht="14.25" hidden="false" customHeight="true" outlineLevel="0" collapsed="false">
      <c r="A130" s="3" t="s">
        <v>586</v>
      </c>
      <c r="B130" s="3" t="s">
        <v>303</v>
      </c>
      <c r="C130" s="3" t="s">
        <v>16</v>
      </c>
      <c r="D130" s="3" t="n">
        <v>3</v>
      </c>
      <c r="E130" s="3" t="s">
        <v>463</v>
      </c>
      <c r="F130" s="3" t="n">
        <v>45</v>
      </c>
    </row>
    <row r="131" customFormat="false" ht="14.25" hidden="false" customHeight="true" outlineLevel="0" collapsed="false">
      <c r="A131" s="3" t="s">
        <v>587</v>
      </c>
      <c r="B131" s="3" t="s">
        <v>305</v>
      </c>
      <c r="C131" s="3" t="s">
        <v>12</v>
      </c>
      <c r="D131" s="3" t="n">
        <v>3</v>
      </c>
      <c r="E131" s="3" t="s">
        <v>463</v>
      </c>
      <c r="F131" s="3" t="n">
        <v>45</v>
      </c>
    </row>
    <row r="132" customFormat="false" ht="14.25" hidden="false" customHeight="true" outlineLevel="0" collapsed="false">
      <c r="A132" s="3" t="s">
        <v>588</v>
      </c>
      <c r="B132" s="3" t="s">
        <v>307</v>
      </c>
      <c r="C132" s="3" t="s">
        <v>71</v>
      </c>
      <c r="D132" s="3" t="n">
        <v>8</v>
      </c>
      <c r="E132" s="3" t="s">
        <v>474</v>
      </c>
      <c r="F132" s="3" t="n">
        <v>45</v>
      </c>
    </row>
    <row r="133" customFormat="false" ht="14.25" hidden="false" customHeight="true" outlineLevel="0" collapsed="false">
      <c r="A133" s="3" t="s">
        <v>589</v>
      </c>
      <c r="B133" s="3" t="s">
        <v>309</v>
      </c>
      <c r="C133" s="3" t="s">
        <v>12</v>
      </c>
      <c r="D133" s="3" t="n">
        <v>9</v>
      </c>
      <c r="E133" s="3" t="s">
        <v>450</v>
      </c>
      <c r="F133" s="3" t="n">
        <v>30</v>
      </c>
    </row>
    <row r="134" customFormat="false" ht="14.25" hidden="false" customHeight="true" outlineLevel="0" collapsed="false">
      <c r="A134" s="3" t="s">
        <v>590</v>
      </c>
      <c r="B134" s="3" t="s">
        <v>311</v>
      </c>
      <c r="C134" s="3" t="s">
        <v>9</v>
      </c>
      <c r="D134" s="3" t="n">
        <v>5</v>
      </c>
      <c r="E134" s="3" t="s">
        <v>9</v>
      </c>
      <c r="F134" s="3" t="n">
        <v>45</v>
      </c>
    </row>
    <row r="135" customFormat="false" ht="14.25" hidden="false" customHeight="true" outlineLevel="0" collapsed="false">
      <c r="A135" s="3" t="s">
        <v>591</v>
      </c>
      <c r="B135" s="3" t="s">
        <v>313</v>
      </c>
      <c r="C135" s="3" t="s">
        <v>71</v>
      </c>
      <c r="D135" s="3" t="n">
        <v>9</v>
      </c>
      <c r="E135" s="3" t="s">
        <v>450</v>
      </c>
      <c r="F135" s="3" t="n">
        <v>30</v>
      </c>
    </row>
    <row r="136" customFormat="false" ht="14.25" hidden="false" customHeight="true" outlineLevel="0" collapsed="false">
      <c r="A136" s="3" t="s">
        <v>592</v>
      </c>
      <c r="B136" s="3" t="s">
        <v>315</v>
      </c>
      <c r="C136" s="3" t="s">
        <v>12</v>
      </c>
      <c r="D136" s="3" t="n">
        <v>9</v>
      </c>
      <c r="E136" s="3" t="s">
        <v>481</v>
      </c>
      <c r="F136" s="3" t="n">
        <v>30</v>
      </c>
    </row>
    <row r="137" customFormat="false" ht="14.25" hidden="false" customHeight="true" outlineLevel="0" collapsed="false">
      <c r="A137" s="3" t="s">
        <v>593</v>
      </c>
      <c r="B137" s="3" t="s">
        <v>317</v>
      </c>
      <c r="C137" s="3" t="s">
        <v>16</v>
      </c>
      <c r="D137" s="3" t="n">
        <v>8</v>
      </c>
      <c r="E137" s="3" t="s">
        <v>474</v>
      </c>
      <c r="F137" s="3" t="n">
        <v>45</v>
      </c>
    </row>
    <row r="138" customFormat="false" ht="14.25" hidden="false" customHeight="true" outlineLevel="0" collapsed="false">
      <c r="A138" s="3" t="s">
        <v>594</v>
      </c>
      <c r="B138" s="3" t="s">
        <v>319</v>
      </c>
      <c r="C138" s="3" t="s">
        <v>29</v>
      </c>
      <c r="D138" s="3" t="n">
        <v>9</v>
      </c>
      <c r="E138" s="3" t="s">
        <v>497</v>
      </c>
      <c r="F138" s="3" t="n">
        <v>30</v>
      </c>
    </row>
    <row r="139" customFormat="false" ht="14.25" hidden="false" customHeight="true" outlineLevel="0" collapsed="false">
      <c r="A139" s="3" t="s">
        <v>595</v>
      </c>
      <c r="B139" s="3" t="s">
        <v>321</v>
      </c>
      <c r="C139" s="3" t="s">
        <v>29</v>
      </c>
      <c r="D139" s="3" t="n">
        <v>5</v>
      </c>
      <c r="E139" s="3" t="s">
        <v>470</v>
      </c>
      <c r="F139" s="3" t="n">
        <v>45</v>
      </c>
    </row>
    <row r="140" customFormat="false" ht="14.25" hidden="false" customHeight="true" outlineLevel="0" collapsed="false">
      <c r="A140" s="3" t="s">
        <v>596</v>
      </c>
      <c r="B140" s="3" t="s">
        <v>242</v>
      </c>
      <c r="C140" s="3" t="s">
        <v>29</v>
      </c>
      <c r="D140" s="3" t="n">
        <v>3</v>
      </c>
      <c r="E140" s="3" t="s">
        <v>446</v>
      </c>
      <c r="F140" s="3" t="n">
        <v>45</v>
      </c>
    </row>
    <row r="141" customFormat="false" ht="14.25" hidden="false" customHeight="true" outlineLevel="0" collapsed="false">
      <c r="A141" s="3" t="s">
        <v>597</v>
      </c>
      <c r="B141" s="3" t="s">
        <v>323</v>
      </c>
      <c r="C141" s="3" t="s">
        <v>77</v>
      </c>
      <c r="D141" s="3" t="n">
        <v>8</v>
      </c>
      <c r="E141" s="3" t="s">
        <v>474</v>
      </c>
      <c r="F141" s="3" t="n">
        <v>45</v>
      </c>
    </row>
    <row r="142" customFormat="false" ht="14.25" hidden="false" customHeight="true" outlineLevel="0" collapsed="false">
      <c r="A142" s="3" t="s">
        <v>598</v>
      </c>
      <c r="B142" s="3" t="s">
        <v>325</v>
      </c>
      <c r="C142" s="3" t="s">
        <v>29</v>
      </c>
      <c r="D142" s="3" t="n">
        <v>3</v>
      </c>
      <c r="E142" s="3" t="s">
        <v>463</v>
      </c>
      <c r="F142" s="3" t="n">
        <v>45</v>
      </c>
    </row>
    <row r="143" customFormat="false" ht="14.25" hidden="false" customHeight="true" outlineLevel="0" collapsed="false">
      <c r="A143" s="3" t="s">
        <v>599</v>
      </c>
      <c r="B143" s="3" t="s">
        <v>327</v>
      </c>
      <c r="C143" s="3" t="s">
        <v>16</v>
      </c>
      <c r="D143" s="3" t="n">
        <v>3</v>
      </c>
      <c r="E143" s="3" t="s">
        <v>446</v>
      </c>
      <c r="F143" s="3" t="n">
        <v>45</v>
      </c>
    </row>
    <row r="144" customFormat="false" ht="14.25" hidden="false" customHeight="true" outlineLevel="0" collapsed="false">
      <c r="A144" s="3" t="s">
        <v>600</v>
      </c>
      <c r="B144" s="3" t="s">
        <v>329</v>
      </c>
      <c r="C144" s="3" t="s">
        <v>16</v>
      </c>
      <c r="D144" s="3" t="n">
        <v>4</v>
      </c>
      <c r="E144" s="3" t="s">
        <v>461</v>
      </c>
      <c r="F144" s="3" t="n">
        <v>45</v>
      </c>
    </row>
    <row r="145" customFormat="false" ht="14.25" hidden="false" customHeight="true" outlineLevel="0" collapsed="false">
      <c r="A145" s="3" t="s">
        <v>601</v>
      </c>
      <c r="B145" s="3" t="s">
        <v>331</v>
      </c>
      <c r="C145" s="3" t="s">
        <v>24</v>
      </c>
      <c r="D145" s="3" t="n">
        <v>4</v>
      </c>
      <c r="E145" s="3" t="s">
        <v>461</v>
      </c>
      <c r="F145" s="3" t="n">
        <v>45</v>
      </c>
    </row>
    <row r="146" customFormat="false" ht="14.25" hidden="false" customHeight="true" outlineLevel="0" collapsed="false">
      <c r="A146" s="3" t="s">
        <v>602</v>
      </c>
      <c r="B146" s="3" t="s">
        <v>333</v>
      </c>
      <c r="C146" s="3" t="s">
        <v>29</v>
      </c>
      <c r="D146" s="3" t="n">
        <v>8</v>
      </c>
      <c r="E146" s="3" t="s">
        <v>474</v>
      </c>
      <c r="F146" s="3" t="n">
        <v>45</v>
      </c>
    </row>
    <row r="147" customFormat="false" ht="14.25" hidden="false" customHeight="true" outlineLevel="0" collapsed="false">
      <c r="A147" s="3" t="s">
        <v>603</v>
      </c>
      <c r="B147" s="3" t="s">
        <v>335</v>
      </c>
      <c r="C147" s="3" t="s">
        <v>77</v>
      </c>
      <c r="D147" s="3" t="n">
        <v>3</v>
      </c>
      <c r="E147" s="3" t="s">
        <v>446</v>
      </c>
      <c r="F147" s="3" t="n">
        <v>45</v>
      </c>
    </row>
    <row r="148" customFormat="false" ht="14.25" hidden="false" customHeight="true" outlineLevel="0" collapsed="false">
      <c r="A148" s="3" t="s">
        <v>604</v>
      </c>
      <c r="B148" s="3" t="s">
        <v>337</v>
      </c>
      <c r="C148" s="3" t="s">
        <v>12</v>
      </c>
      <c r="D148" s="3" t="n">
        <v>9</v>
      </c>
      <c r="E148" s="3" t="s">
        <v>497</v>
      </c>
      <c r="F148" s="3" t="n">
        <v>30</v>
      </c>
    </row>
    <row r="149" customFormat="false" ht="14.25" hidden="false" customHeight="true" outlineLevel="0" collapsed="false">
      <c r="A149" s="3" t="s">
        <v>605</v>
      </c>
      <c r="B149" s="3" t="s">
        <v>339</v>
      </c>
      <c r="C149" s="3" t="s">
        <v>12</v>
      </c>
      <c r="D149" s="3" t="n">
        <v>8</v>
      </c>
      <c r="E149" s="3" t="s">
        <v>452</v>
      </c>
      <c r="F149" s="3" t="n">
        <v>45</v>
      </c>
    </row>
    <row r="150" customFormat="false" ht="14.25" hidden="false" customHeight="true" outlineLevel="0" collapsed="false">
      <c r="A150" s="3" t="s">
        <v>606</v>
      </c>
      <c r="B150" s="3" t="s">
        <v>342</v>
      </c>
      <c r="C150" s="3" t="s">
        <v>16</v>
      </c>
      <c r="D150" s="3" t="n">
        <v>8</v>
      </c>
      <c r="E150" s="3" t="s">
        <v>474</v>
      </c>
      <c r="F150" s="3" t="n">
        <v>45</v>
      </c>
    </row>
    <row r="151" customFormat="false" ht="14.25" hidden="false" customHeight="true" outlineLevel="0" collapsed="false">
      <c r="A151" s="3" t="s">
        <v>607</v>
      </c>
      <c r="B151" s="3" t="s">
        <v>344</v>
      </c>
      <c r="C151" s="3" t="s">
        <v>29</v>
      </c>
      <c r="D151" s="3" t="n">
        <v>9</v>
      </c>
      <c r="E151" s="3" t="s">
        <v>450</v>
      </c>
      <c r="F151" s="3" t="n">
        <v>30</v>
      </c>
    </row>
    <row r="152" customFormat="false" ht="14.25" hidden="false" customHeight="true" outlineLevel="0" collapsed="false">
      <c r="A152" s="3" t="s">
        <v>608</v>
      </c>
      <c r="B152" s="3" t="s">
        <v>346</v>
      </c>
      <c r="C152" s="3" t="s">
        <v>29</v>
      </c>
      <c r="D152" s="3" t="n">
        <v>5</v>
      </c>
      <c r="E152" s="3" t="s">
        <v>470</v>
      </c>
      <c r="F152" s="3" t="n">
        <v>45</v>
      </c>
    </row>
    <row r="153" customFormat="false" ht="14.25" hidden="false" customHeight="true" outlineLevel="0" collapsed="false">
      <c r="A153" s="3" t="s">
        <v>609</v>
      </c>
      <c r="B153" s="3" t="s">
        <v>348</v>
      </c>
      <c r="C153" s="3" t="s">
        <v>24</v>
      </c>
      <c r="D153" s="3" t="n">
        <v>4</v>
      </c>
      <c r="E153" s="3" t="s">
        <v>444</v>
      </c>
      <c r="F153" s="3" t="n">
        <v>45</v>
      </c>
    </row>
    <row r="154" customFormat="false" ht="14.25" hidden="false" customHeight="true" outlineLevel="0" collapsed="false">
      <c r="A154" s="3" t="s">
        <v>610</v>
      </c>
      <c r="B154" s="3" t="s">
        <v>350</v>
      </c>
      <c r="C154" s="3" t="s">
        <v>9</v>
      </c>
      <c r="D154" s="3" t="n">
        <v>6.27</v>
      </c>
      <c r="E154" s="3" t="s">
        <v>474</v>
      </c>
      <c r="F154" s="3" t="n">
        <v>45</v>
      </c>
    </row>
    <row r="155" customFormat="false" ht="14.25" hidden="false" customHeight="true" outlineLevel="0" collapsed="false">
      <c r="A155" s="3" t="s">
        <v>611</v>
      </c>
      <c r="B155" s="3" t="s">
        <v>32</v>
      </c>
      <c r="C155" s="3" t="s">
        <v>12</v>
      </c>
      <c r="D155" s="3" t="n">
        <v>8</v>
      </c>
      <c r="E155" s="3" t="s">
        <v>474</v>
      </c>
      <c r="F155" s="3" t="n">
        <v>45</v>
      </c>
    </row>
    <row r="156" customFormat="false" ht="14.25" hidden="false" customHeight="true" outlineLevel="0" collapsed="false">
      <c r="A156" s="3" t="s">
        <v>612</v>
      </c>
      <c r="B156" s="3" t="s">
        <v>354</v>
      </c>
      <c r="C156" s="3" t="s">
        <v>29</v>
      </c>
      <c r="D156" s="3" t="n">
        <v>3</v>
      </c>
      <c r="E156" s="3" t="s">
        <v>446</v>
      </c>
      <c r="F156" s="3" t="n">
        <v>45</v>
      </c>
    </row>
    <row r="157" customFormat="false" ht="14.25" hidden="false" customHeight="true" outlineLevel="0" collapsed="false">
      <c r="A157" s="3" t="s">
        <v>613</v>
      </c>
      <c r="B157" s="3" t="s">
        <v>356</v>
      </c>
      <c r="C157" s="3" t="s">
        <v>24</v>
      </c>
      <c r="D157" s="3" t="n">
        <v>4</v>
      </c>
      <c r="E157" s="3" t="s">
        <v>444</v>
      </c>
      <c r="F157" s="3" t="n">
        <v>45</v>
      </c>
    </row>
    <row r="158" customFormat="false" ht="14.25" hidden="false" customHeight="true" outlineLevel="0" collapsed="false">
      <c r="A158" s="3" t="s">
        <v>614</v>
      </c>
      <c r="B158" s="3" t="s">
        <v>358</v>
      </c>
      <c r="C158" s="3" t="s">
        <v>29</v>
      </c>
      <c r="D158" s="3" t="n">
        <v>9</v>
      </c>
      <c r="E158" s="3" t="s">
        <v>481</v>
      </c>
      <c r="F158" s="3" t="n">
        <v>30</v>
      </c>
    </row>
    <row r="159" customFormat="false" ht="14.25" hidden="false" customHeight="true" outlineLevel="0" collapsed="false">
      <c r="A159" s="3" t="s">
        <v>615</v>
      </c>
      <c r="B159" s="3" t="s">
        <v>360</v>
      </c>
      <c r="C159" s="3" t="s">
        <v>29</v>
      </c>
      <c r="D159" s="3" t="n">
        <v>6</v>
      </c>
      <c r="E159" s="3" t="s">
        <v>463</v>
      </c>
      <c r="F159" s="3" t="n">
        <v>45</v>
      </c>
    </row>
    <row r="160" customFormat="false" ht="14.25" hidden="false" customHeight="true" outlineLevel="0" collapsed="false">
      <c r="A160" s="3" t="s">
        <v>616</v>
      </c>
      <c r="B160" s="3" t="s">
        <v>362</v>
      </c>
      <c r="C160" s="3" t="s">
        <v>71</v>
      </c>
      <c r="D160" s="3" t="n">
        <v>4</v>
      </c>
      <c r="E160" s="3" t="s">
        <v>463</v>
      </c>
      <c r="F160" s="3" t="n">
        <v>45</v>
      </c>
    </row>
    <row r="161" customFormat="false" ht="14.25" hidden="false" customHeight="true" outlineLevel="0" collapsed="false">
      <c r="A161" s="3" t="s">
        <v>617</v>
      </c>
      <c r="B161" s="3" t="s">
        <v>252</v>
      </c>
      <c r="C161" s="3" t="s">
        <v>71</v>
      </c>
      <c r="D161" s="3" t="n">
        <v>9</v>
      </c>
      <c r="E161" s="3" t="s">
        <v>448</v>
      </c>
      <c r="F161" s="3" t="n">
        <v>30</v>
      </c>
    </row>
    <row r="162" customFormat="false" ht="14.25" hidden="false" customHeight="true" outlineLevel="0" collapsed="false">
      <c r="A162" s="3" t="s">
        <v>618</v>
      </c>
      <c r="B162" s="3" t="s">
        <v>364</v>
      </c>
      <c r="C162" s="3" t="s">
        <v>29</v>
      </c>
      <c r="D162" s="3" t="n">
        <v>4</v>
      </c>
      <c r="E162" s="3" t="s">
        <v>444</v>
      </c>
      <c r="F162" s="3" t="n">
        <v>45</v>
      </c>
    </row>
    <row r="163" customFormat="false" ht="14.25" hidden="false" customHeight="true" outlineLevel="0" collapsed="false">
      <c r="A163" s="3" t="s">
        <v>619</v>
      </c>
      <c r="B163" s="3" t="s">
        <v>366</v>
      </c>
      <c r="C163" s="3" t="s">
        <v>16</v>
      </c>
      <c r="D163" s="3" t="n">
        <v>8</v>
      </c>
      <c r="E163" s="3" t="s">
        <v>474</v>
      </c>
      <c r="F163" s="3" t="n">
        <v>45</v>
      </c>
    </row>
    <row r="164" customFormat="false" ht="14.25" hidden="false" customHeight="true" outlineLevel="0" collapsed="false">
      <c r="A164" s="3" t="s">
        <v>620</v>
      </c>
      <c r="B164" s="3" t="s">
        <v>368</v>
      </c>
      <c r="C164" s="3" t="s">
        <v>77</v>
      </c>
      <c r="D164" s="3" t="n">
        <v>4</v>
      </c>
      <c r="E164" s="3" t="s">
        <v>463</v>
      </c>
      <c r="F164" s="3" t="n">
        <v>45</v>
      </c>
    </row>
    <row r="165" customFormat="false" ht="14.25" hidden="false" customHeight="true" outlineLevel="0" collapsed="false">
      <c r="A165" s="3" t="s">
        <v>621</v>
      </c>
      <c r="B165" s="3" t="s">
        <v>370</v>
      </c>
      <c r="C165" s="3" t="s">
        <v>16</v>
      </c>
      <c r="D165" s="3" t="n">
        <v>7</v>
      </c>
      <c r="E165" s="3" t="s">
        <v>457</v>
      </c>
      <c r="F165" s="3" t="n">
        <v>45</v>
      </c>
    </row>
    <row r="166" customFormat="false" ht="14.25" hidden="false" customHeight="true" outlineLevel="0" collapsed="false">
      <c r="A166" s="3" t="s">
        <v>622</v>
      </c>
      <c r="B166" s="3" t="s">
        <v>372</v>
      </c>
      <c r="C166" s="3" t="s">
        <v>16</v>
      </c>
      <c r="D166" s="3" t="n">
        <v>9</v>
      </c>
      <c r="E166" s="3" t="s">
        <v>497</v>
      </c>
      <c r="F166" s="3" t="n">
        <v>30</v>
      </c>
    </row>
    <row r="167" customFormat="false" ht="14.25" hidden="false" customHeight="true" outlineLevel="0" collapsed="false">
      <c r="A167" s="3" t="s">
        <v>623</v>
      </c>
      <c r="B167" s="3" t="s">
        <v>374</v>
      </c>
      <c r="C167" s="3" t="s">
        <v>71</v>
      </c>
      <c r="D167" s="3" t="n">
        <v>8</v>
      </c>
      <c r="E167" s="3" t="s">
        <v>452</v>
      </c>
      <c r="F167" s="3" t="n">
        <v>45</v>
      </c>
    </row>
    <row r="168" customFormat="false" ht="14.25" hidden="false" customHeight="true" outlineLevel="0" collapsed="false">
      <c r="A168" s="3" t="s">
        <v>624</v>
      </c>
      <c r="B168" s="3" t="s">
        <v>376</v>
      </c>
      <c r="C168" s="3" t="s">
        <v>12</v>
      </c>
      <c r="D168" s="3" t="n">
        <v>6</v>
      </c>
      <c r="E168" s="3" t="s">
        <v>468</v>
      </c>
      <c r="F168" s="3" t="n">
        <v>45</v>
      </c>
    </row>
    <row r="169" customFormat="false" ht="14.25" hidden="false" customHeight="true" outlineLevel="0" collapsed="false">
      <c r="A169" s="3" t="s">
        <v>625</v>
      </c>
      <c r="B169" s="3" t="s">
        <v>378</v>
      </c>
      <c r="C169" s="3" t="s">
        <v>71</v>
      </c>
      <c r="D169" s="3" t="n">
        <v>3</v>
      </c>
      <c r="E169" s="3" t="s">
        <v>446</v>
      </c>
      <c r="F169" s="3" t="n">
        <v>45</v>
      </c>
    </row>
    <row r="170" customFormat="false" ht="14.25" hidden="false" customHeight="true" outlineLevel="0" collapsed="false">
      <c r="A170" s="3" t="s">
        <v>626</v>
      </c>
      <c r="B170" s="3" t="s">
        <v>380</v>
      </c>
      <c r="C170" s="3" t="s">
        <v>71</v>
      </c>
      <c r="D170" s="3" t="n">
        <v>6</v>
      </c>
      <c r="E170" s="3" t="s">
        <v>468</v>
      </c>
      <c r="F170" s="3" t="n">
        <v>45</v>
      </c>
    </row>
    <row r="171" customFormat="false" ht="14.25" hidden="false" customHeight="true" outlineLevel="0" collapsed="false">
      <c r="A171" s="3" t="s">
        <v>627</v>
      </c>
      <c r="B171" s="3" t="s">
        <v>382</v>
      </c>
      <c r="C171" s="3" t="s">
        <v>12</v>
      </c>
      <c r="D171" s="3" t="n">
        <v>4</v>
      </c>
      <c r="E171" s="3" t="s">
        <v>461</v>
      </c>
      <c r="F171" s="3" t="n">
        <v>45</v>
      </c>
    </row>
    <row r="172" customFormat="false" ht="14.25" hidden="false" customHeight="true" outlineLevel="0" collapsed="false">
      <c r="A172" s="3" t="s">
        <v>628</v>
      </c>
      <c r="B172" s="3" t="s">
        <v>384</v>
      </c>
      <c r="C172" s="3" t="s">
        <v>12</v>
      </c>
      <c r="D172" s="3" t="n">
        <v>9</v>
      </c>
      <c r="E172" s="3" t="s">
        <v>481</v>
      </c>
      <c r="F172" s="3" t="n">
        <v>30</v>
      </c>
    </row>
    <row r="173" customFormat="false" ht="14.25" hidden="false" customHeight="true" outlineLevel="0" collapsed="false">
      <c r="A173" s="3" t="s">
        <v>629</v>
      </c>
      <c r="B173" s="3" t="s">
        <v>387</v>
      </c>
      <c r="C173" s="3" t="s">
        <v>29</v>
      </c>
      <c r="D173" s="3" t="n">
        <v>7</v>
      </c>
      <c r="E173" s="3" t="s">
        <v>457</v>
      </c>
      <c r="F173" s="3" t="n">
        <v>45</v>
      </c>
    </row>
    <row r="174" customFormat="false" ht="14.25" hidden="false" customHeight="true" outlineLevel="0" collapsed="false">
      <c r="A174" s="3" t="s">
        <v>630</v>
      </c>
      <c r="B174" s="3" t="s">
        <v>389</v>
      </c>
      <c r="C174" s="3" t="s">
        <v>29</v>
      </c>
      <c r="D174" s="3" t="n">
        <v>7</v>
      </c>
      <c r="E174" s="3" t="s">
        <v>472</v>
      </c>
      <c r="F174" s="3" t="n">
        <v>45</v>
      </c>
    </row>
    <row r="175" customFormat="false" ht="14.25" hidden="false" customHeight="true" outlineLevel="0" collapsed="false">
      <c r="A175" s="3" t="s">
        <v>631</v>
      </c>
      <c r="B175" s="3" t="s">
        <v>391</v>
      </c>
      <c r="C175" s="3" t="s">
        <v>12</v>
      </c>
      <c r="D175" s="3" t="n">
        <v>8</v>
      </c>
      <c r="E175" s="3" t="s">
        <v>474</v>
      </c>
      <c r="F175" s="3" t="n">
        <v>45</v>
      </c>
    </row>
    <row r="176" customFormat="false" ht="14.25" hidden="false" customHeight="true" outlineLevel="0" collapsed="false">
      <c r="A176" s="3" t="s">
        <v>632</v>
      </c>
      <c r="B176" s="3" t="s">
        <v>393</v>
      </c>
      <c r="C176" s="3" t="s">
        <v>12</v>
      </c>
      <c r="D176" s="3" t="n">
        <v>9</v>
      </c>
      <c r="E176" s="3" t="s">
        <v>448</v>
      </c>
      <c r="F176" s="3" t="n">
        <v>30</v>
      </c>
    </row>
    <row r="177" customFormat="false" ht="14.25" hidden="false" customHeight="true" outlineLevel="0" collapsed="false">
      <c r="A177" s="3" t="s">
        <v>633</v>
      </c>
      <c r="B177" s="3" t="s">
        <v>395</v>
      </c>
      <c r="C177" s="3" t="s">
        <v>29</v>
      </c>
      <c r="D177" s="3" t="n">
        <v>9</v>
      </c>
      <c r="E177" s="3" t="s">
        <v>481</v>
      </c>
      <c r="F177" s="3" t="n">
        <v>30</v>
      </c>
    </row>
    <row r="178" customFormat="false" ht="14.25" hidden="false" customHeight="true" outlineLevel="0" collapsed="false">
      <c r="A178" s="3" t="s">
        <v>634</v>
      </c>
      <c r="B178" s="3" t="s">
        <v>397</v>
      </c>
      <c r="C178" s="3" t="s">
        <v>29</v>
      </c>
      <c r="D178" s="3" t="n">
        <v>6</v>
      </c>
      <c r="E178" s="3" t="s">
        <v>468</v>
      </c>
      <c r="F178" s="3" t="n">
        <v>45</v>
      </c>
    </row>
    <row r="179" customFormat="false" ht="14.25" hidden="false" customHeight="true" outlineLevel="0" collapsed="false">
      <c r="A179" s="3" t="s">
        <v>635</v>
      </c>
      <c r="B179" s="3" t="s">
        <v>399</v>
      </c>
      <c r="C179" s="3" t="s">
        <v>77</v>
      </c>
      <c r="D179" s="3" t="n">
        <v>4</v>
      </c>
      <c r="E179" s="3" t="s">
        <v>444</v>
      </c>
      <c r="F179" s="3" t="n">
        <v>45</v>
      </c>
    </row>
    <row r="180" customFormat="false" ht="14.25" hidden="false" customHeight="true" outlineLevel="0" collapsed="false">
      <c r="A180" s="3" t="s">
        <v>636</v>
      </c>
      <c r="B180" s="3" t="s">
        <v>401</v>
      </c>
      <c r="C180" s="3" t="s">
        <v>24</v>
      </c>
      <c r="D180" s="3" t="n">
        <v>6</v>
      </c>
      <c r="E180" s="3" t="s">
        <v>468</v>
      </c>
      <c r="F180" s="3" t="n">
        <v>45</v>
      </c>
    </row>
    <row r="181" customFormat="false" ht="14.25" hidden="false" customHeight="true" outlineLevel="0" collapsed="false">
      <c r="A181" s="3" t="s">
        <v>637</v>
      </c>
      <c r="B181" s="3" t="s">
        <v>403</v>
      </c>
      <c r="C181" s="3" t="s">
        <v>29</v>
      </c>
      <c r="D181" s="3" t="n">
        <v>8</v>
      </c>
      <c r="E181" s="3" t="s">
        <v>474</v>
      </c>
      <c r="F181" s="3" t="n">
        <v>45</v>
      </c>
    </row>
    <row r="182" customFormat="false" ht="14.25" hidden="false" customHeight="true" outlineLevel="0" collapsed="false">
      <c r="A182" s="3" t="s">
        <v>638</v>
      </c>
      <c r="B182" s="3" t="s">
        <v>405</v>
      </c>
      <c r="C182" s="3" t="s">
        <v>71</v>
      </c>
      <c r="D182" s="3" t="n">
        <v>8</v>
      </c>
      <c r="E182" s="3" t="s">
        <v>474</v>
      </c>
      <c r="F182" s="3" t="n">
        <v>45</v>
      </c>
    </row>
    <row r="183" customFormat="false" ht="14.25" hidden="false" customHeight="true" outlineLevel="0" collapsed="false">
      <c r="A183" s="3" t="s">
        <v>639</v>
      </c>
      <c r="B183" s="3" t="s">
        <v>407</v>
      </c>
      <c r="C183" s="3" t="s">
        <v>12</v>
      </c>
      <c r="D183" s="3" t="n">
        <v>9</v>
      </c>
      <c r="E183" s="3" t="s">
        <v>448</v>
      </c>
      <c r="F183" s="3" t="n">
        <v>30</v>
      </c>
    </row>
    <row r="184" customFormat="false" ht="14.25" hidden="false" customHeight="true" outlineLevel="0" collapsed="false">
      <c r="A184" s="3" t="s">
        <v>640</v>
      </c>
      <c r="B184" s="3" t="s">
        <v>409</v>
      </c>
      <c r="C184" s="3" t="s">
        <v>24</v>
      </c>
      <c r="D184" s="3" t="n">
        <v>5</v>
      </c>
      <c r="E184" s="3" t="s">
        <v>470</v>
      </c>
      <c r="F184" s="3" t="n">
        <v>45</v>
      </c>
    </row>
    <row r="185" customFormat="false" ht="14.25" hidden="false" customHeight="true" outlineLevel="0" collapsed="false">
      <c r="A185" s="3" t="s">
        <v>641</v>
      </c>
      <c r="B185" s="3" t="s">
        <v>411</v>
      </c>
      <c r="C185" s="3" t="s">
        <v>24</v>
      </c>
      <c r="D185" s="3" t="n">
        <v>5</v>
      </c>
      <c r="E185" s="3" t="s">
        <v>470</v>
      </c>
      <c r="F185" s="3" t="n">
        <v>45</v>
      </c>
    </row>
    <row r="186" customFormat="false" ht="14.25" hidden="false" customHeight="true" outlineLevel="0" collapsed="false">
      <c r="A186" s="3" t="s">
        <v>642</v>
      </c>
      <c r="B186" s="3" t="s">
        <v>293</v>
      </c>
      <c r="C186" s="3" t="s">
        <v>77</v>
      </c>
      <c r="D186" s="3" t="n">
        <v>6</v>
      </c>
      <c r="E186" s="3" t="s">
        <v>468</v>
      </c>
      <c r="F186" s="3" t="n">
        <v>45</v>
      </c>
    </row>
    <row r="187" customFormat="false" ht="14.25" hidden="false" customHeight="true" outlineLevel="0" collapsed="false">
      <c r="A187" s="3" t="s">
        <v>643</v>
      </c>
      <c r="B187" s="3" t="s">
        <v>413</v>
      </c>
      <c r="C187" s="3" t="s">
        <v>24</v>
      </c>
      <c r="D187" s="3" t="n">
        <v>7</v>
      </c>
      <c r="E187" s="3" t="s">
        <v>454</v>
      </c>
      <c r="F187" s="3" t="n">
        <v>45</v>
      </c>
    </row>
    <row r="188" customFormat="false" ht="14.25" hidden="false" customHeight="true" outlineLevel="0" collapsed="false">
      <c r="A188" s="3" t="s">
        <v>644</v>
      </c>
      <c r="B188" s="3" t="s">
        <v>415</v>
      </c>
      <c r="C188" s="3" t="s">
        <v>71</v>
      </c>
      <c r="D188" s="3" t="n">
        <v>3</v>
      </c>
      <c r="E188" s="3" t="s">
        <v>463</v>
      </c>
      <c r="F188" s="3" t="n">
        <v>45</v>
      </c>
    </row>
    <row r="189" customFormat="false" ht="14.25" hidden="false" customHeight="true" outlineLevel="0" collapsed="false">
      <c r="A189" s="3" t="s">
        <v>645</v>
      </c>
      <c r="B189" s="3" t="s">
        <v>417</v>
      </c>
      <c r="C189" s="3" t="s">
        <v>24</v>
      </c>
      <c r="D189" s="3" t="n">
        <v>8</v>
      </c>
      <c r="E189" s="3" t="s">
        <v>474</v>
      </c>
      <c r="F189" s="3" t="n">
        <v>45</v>
      </c>
    </row>
    <row r="190" customFormat="false" ht="14.25" hidden="false" customHeight="true" outlineLevel="0" collapsed="false">
      <c r="A190" s="3" t="s">
        <v>646</v>
      </c>
      <c r="B190" s="3" t="s">
        <v>419</v>
      </c>
      <c r="C190" s="3" t="s">
        <v>71</v>
      </c>
      <c r="D190" s="3" t="n">
        <v>4</v>
      </c>
      <c r="E190" s="3" t="s">
        <v>444</v>
      </c>
      <c r="F190" s="3" t="n">
        <v>45</v>
      </c>
    </row>
    <row r="191" customFormat="false" ht="14.25" hidden="false" customHeight="true" outlineLevel="0" collapsed="false">
      <c r="A191" s="3" t="s">
        <v>647</v>
      </c>
      <c r="B191" s="3" t="s">
        <v>421</v>
      </c>
      <c r="C191" s="3" t="s">
        <v>77</v>
      </c>
      <c r="D191" s="3" t="n">
        <v>3</v>
      </c>
      <c r="E191" s="3" t="s">
        <v>463</v>
      </c>
      <c r="F191" s="3" t="n">
        <v>45</v>
      </c>
    </row>
    <row r="192" customFormat="false" ht="14.25" hidden="false" customHeight="true" outlineLevel="0" collapsed="false">
      <c r="A192" s="3" t="s">
        <v>648</v>
      </c>
      <c r="B192" s="3" t="s">
        <v>423</v>
      </c>
      <c r="C192" s="3" t="s">
        <v>12</v>
      </c>
      <c r="D192" s="3" t="n">
        <v>9</v>
      </c>
      <c r="E192" s="3" t="s">
        <v>450</v>
      </c>
      <c r="F192" s="3" t="n">
        <v>30</v>
      </c>
    </row>
    <row r="193" customFormat="false" ht="14.25" hidden="false" customHeight="true" outlineLevel="0" collapsed="false">
      <c r="A193" s="3" t="s">
        <v>649</v>
      </c>
      <c r="B193" s="3" t="s">
        <v>425</v>
      </c>
      <c r="C193" s="3" t="s">
        <v>12</v>
      </c>
      <c r="D193" s="3" t="n">
        <v>9</v>
      </c>
      <c r="E193" s="3" t="s">
        <v>481</v>
      </c>
      <c r="F193" s="3" t="n">
        <v>30</v>
      </c>
    </row>
    <row r="194" customFormat="false" ht="14.25" hidden="false" customHeight="true" outlineLevel="0" collapsed="false">
      <c r="A194" s="3" t="s">
        <v>650</v>
      </c>
      <c r="B194" s="3" t="s">
        <v>427</v>
      </c>
      <c r="C194" s="3" t="s">
        <v>24</v>
      </c>
      <c r="D194" s="3" t="n">
        <v>8</v>
      </c>
      <c r="E194" s="3" t="s">
        <v>474</v>
      </c>
      <c r="F194" s="3" t="n">
        <v>45</v>
      </c>
    </row>
    <row r="195" customFormat="false" ht="14.25" hidden="false" customHeight="true" outlineLevel="0" collapsed="false">
      <c r="A195" s="3" t="s">
        <v>651</v>
      </c>
      <c r="B195" s="3" t="s">
        <v>429</v>
      </c>
      <c r="C195" s="3" t="s">
        <v>77</v>
      </c>
      <c r="D195" s="3" t="n">
        <v>6</v>
      </c>
      <c r="E195" s="3" t="s">
        <v>468</v>
      </c>
      <c r="F195" s="3" t="n">
        <v>45</v>
      </c>
    </row>
    <row r="196" customFormat="false" ht="14.25" hidden="false" customHeight="true" outlineLevel="0" collapsed="false">
      <c r="A196" s="3" t="s">
        <v>652</v>
      </c>
      <c r="B196" s="3" t="s">
        <v>431</v>
      </c>
      <c r="C196" s="3" t="s">
        <v>9</v>
      </c>
      <c r="D196" s="3" t="n">
        <v>6.27</v>
      </c>
      <c r="E196" s="3" t="s">
        <v>481</v>
      </c>
      <c r="F196" s="3" t="s">
        <v>9</v>
      </c>
    </row>
    <row r="197" customFormat="false" ht="14.25" hidden="false" customHeight="true" outlineLevel="0" collapsed="false">
      <c r="A197" s="3" t="s">
        <v>653</v>
      </c>
      <c r="B197" s="3" t="s">
        <v>433</v>
      </c>
      <c r="C197" s="3" t="s">
        <v>71</v>
      </c>
      <c r="D197" s="3" t="n">
        <v>3</v>
      </c>
      <c r="E197" s="3" t="s">
        <v>446</v>
      </c>
      <c r="F197" s="3" t="n">
        <v>45</v>
      </c>
    </row>
    <row r="198" customFormat="false" ht="14.25" hidden="false" customHeight="true" outlineLevel="0" collapsed="false">
      <c r="A198" s="3" t="s">
        <v>654</v>
      </c>
      <c r="B198" s="3" t="s">
        <v>435</v>
      </c>
      <c r="C198" s="3" t="s">
        <v>71</v>
      </c>
      <c r="D198" s="3" t="n">
        <v>9</v>
      </c>
      <c r="E198" s="3" t="s">
        <v>450</v>
      </c>
      <c r="F198" s="3" t="n">
        <v>30</v>
      </c>
    </row>
    <row r="199" customFormat="false" ht="14.25" hidden="false" customHeight="true" outlineLevel="0" collapsed="false">
      <c r="A199" s="3" t="s">
        <v>655</v>
      </c>
      <c r="B199" s="3" t="s">
        <v>437</v>
      </c>
      <c r="C199" s="3" t="s">
        <v>12</v>
      </c>
      <c r="D199" s="3" t="n">
        <v>5</v>
      </c>
      <c r="E199" s="3" t="s">
        <v>470</v>
      </c>
      <c r="F199" s="3" t="n">
        <v>45</v>
      </c>
    </row>
    <row r="200" customFormat="false" ht="14.25" hidden="false" customHeight="true" outlineLevel="0" collapsed="false">
      <c r="A200" s="3" t="s">
        <v>9</v>
      </c>
      <c r="B200" s="3" t="s">
        <v>9</v>
      </c>
      <c r="C200" s="3" t="s">
        <v>9</v>
      </c>
      <c r="D200" s="3" t="n">
        <v>6.27</v>
      </c>
      <c r="E200" s="3" t="s">
        <v>9</v>
      </c>
      <c r="F200" s="3" t="s">
        <v>9</v>
      </c>
    </row>
  </sheetData>
  <conditionalFormatting sqref="A1:F200">
    <cfRule type="expression" priority="2" aboveAverage="0" equalAverage="0" bottom="0" percent="0" rank="0" text="" dxfId="1">
      <formula>LEN(TRIM(A1))=0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7" activeCellId="0" sqref="G7"/>
    </sheetView>
  </sheetViews>
  <sheetFormatPr defaultColWidth="16.9140625" defaultRowHeight="14.25" zeroHeight="false" outlineLevelRow="0" outlineLevelCol="0"/>
  <cols>
    <col collapsed="false" customWidth="false" hidden="false" outlineLevel="0" max="5" min="5" style="1" width="16.91"/>
  </cols>
  <sheetData>
    <row r="1" customFormat="false" ht="14.25" hidden="false" customHeight="true" outlineLevel="0" collapsed="false">
      <c r="A1" s="3" t="s">
        <v>656</v>
      </c>
      <c r="B1" s="3" t="s">
        <v>3</v>
      </c>
      <c r="C1" s="3" t="s">
        <v>657</v>
      </c>
      <c r="D1" s="3" t="s">
        <v>658</v>
      </c>
      <c r="E1" s="4" t="s">
        <v>4</v>
      </c>
      <c r="F1" s="3" t="s">
        <v>659</v>
      </c>
    </row>
    <row r="2" customFormat="false" ht="14.25" hidden="false" customHeight="true" outlineLevel="0" collapsed="false">
      <c r="A2" s="3" t="s">
        <v>660</v>
      </c>
      <c r="B2" s="3" t="s">
        <v>12</v>
      </c>
      <c r="C2" s="3" t="s">
        <v>661</v>
      </c>
      <c r="D2" s="3" t="n">
        <v>2</v>
      </c>
      <c r="E2" s="4" t="n">
        <v>45501</v>
      </c>
      <c r="F2" s="3" t="s">
        <v>662</v>
      </c>
    </row>
    <row r="3" customFormat="false" ht="14.25" hidden="false" customHeight="true" outlineLevel="0" collapsed="false">
      <c r="A3" s="3" t="s">
        <v>663</v>
      </c>
      <c r="B3" s="3" t="s">
        <v>16</v>
      </c>
      <c r="C3" s="3" t="s">
        <v>664</v>
      </c>
      <c r="D3" s="3" t="n">
        <v>0</v>
      </c>
      <c r="E3" s="4" t="n">
        <v>45545</v>
      </c>
      <c r="F3" s="3" t="s">
        <v>665</v>
      </c>
    </row>
    <row r="4" customFormat="false" ht="14.25" hidden="false" customHeight="true" outlineLevel="0" collapsed="false">
      <c r="A4" s="3" t="s">
        <v>666</v>
      </c>
      <c r="B4" s="3" t="s">
        <v>77</v>
      </c>
      <c r="C4" s="3" t="s">
        <v>667</v>
      </c>
      <c r="D4" s="3" t="n">
        <v>0</v>
      </c>
      <c r="E4" s="4" t="n">
        <v>45643</v>
      </c>
      <c r="F4" s="3" t="s">
        <v>668</v>
      </c>
    </row>
    <row r="5" customFormat="false" ht="14.25" hidden="false" customHeight="true" outlineLevel="0" collapsed="false">
      <c r="A5" s="3" t="s">
        <v>669</v>
      </c>
      <c r="B5" s="3" t="s">
        <v>24</v>
      </c>
      <c r="C5" s="3" t="s">
        <v>664</v>
      </c>
      <c r="D5" s="3" t="n">
        <v>9</v>
      </c>
      <c r="E5" s="4" t="n">
        <v>45482</v>
      </c>
      <c r="F5" s="3" t="s">
        <v>662</v>
      </c>
    </row>
    <row r="6" customFormat="false" ht="14.25" hidden="false" customHeight="true" outlineLevel="0" collapsed="false">
      <c r="A6" s="3" t="s">
        <v>670</v>
      </c>
      <c r="B6" s="3" t="s">
        <v>9</v>
      </c>
      <c r="C6" s="3" t="s">
        <v>667</v>
      </c>
      <c r="D6" s="3" t="n">
        <v>1</v>
      </c>
      <c r="E6" s="4" t="s">
        <v>9</v>
      </c>
      <c r="F6" s="3" t="s">
        <v>662</v>
      </c>
    </row>
    <row r="7" customFormat="false" ht="14.25" hidden="false" customHeight="true" outlineLevel="0" collapsed="false">
      <c r="A7" s="3" t="s">
        <v>671</v>
      </c>
      <c r="B7" s="3" t="s">
        <v>71</v>
      </c>
      <c r="C7" s="3" t="s">
        <v>664</v>
      </c>
      <c r="D7" s="3" t="n">
        <v>4</v>
      </c>
      <c r="E7" s="4" t="n">
        <v>45357</v>
      </c>
      <c r="F7" s="3" t="s">
        <v>662</v>
      </c>
    </row>
    <row r="8" customFormat="false" ht="14.25" hidden="false" customHeight="true" outlineLevel="0" collapsed="false">
      <c r="A8" s="3" t="s">
        <v>672</v>
      </c>
      <c r="B8" s="3" t="s">
        <v>12</v>
      </c>
      <c r="C8" s="3" t="s">
        <v>661</v>
      </c>
      <c r="D8" s="3" t="n">
        <v>5</v>
      </c>
      <c r="E8" s="4" t="n">
        <v>45383</v>
      </c>
      <c r="F8" s="3" t="s">
        <v>662</v>
      </c>
    </row>
    <row r="9" customFormat="false" ht="14.25" hidden="false" customHeight="true" outlineLevel="0" collapsed="false">
      <c r="A9" s="3" t="s">
        <v>673</v>
      </c>
      <c r="B9" s="3" t="s">
        <v>24</v>
      </c>
      <c r="C9" s="3" t="s">
        <v>667</v>
      </c>
      <c r="D9" s="3" t="n">
        <v>1</v>
      </c>
      <c r="E9" s="4" t="n">
        <v>45581</v>
      </c>
      <c r="F9" s="3" t="s">
        <v>662</v>
      </c>
    </row>
    <row r="10" customFormat="false" ht="14.25" hidden="false" customHeight="true" outlineLevel="0" collapsed="false">
      <c r="A10" s="3" t="s">
        <v>674</v>
      </c>
      <c r="B10" s="3" t="s">
        <v>71</v>
      </c>
      <c r="C10" s="3" t="s">
        <v>664</v>
      </c>
      <c r="D10" s="3" t="n">
        <v>8</v>
      </c>
      <c r="E10" s="4" t="n">
        <v>45558</v>
      </c>
      <c r="F10" s="3" t="s">
        <v>662</v>
      </c>
    </row>
    <row r="11" customFormat="false" ht="14.25" hidden="false" customHeight="true" outlineLevel="0" collapsed="false">
      <c r="A11" s="3" t="s">
        <v>675</v>
      </c>
      <c r="B11" s="3" t="s">
        <v>12</v>
      </c>
      <c r="C11" s="3" t="s">
        <v>676</v>
      </c>
      <c r="D11" s="3" t="n">
        <v>5</v>
      </c>
      <c r="E11" s="4" t="n">
        <v>45395</v>
      </c>
      <c r="F11" s="3" t="s">
        <v>677</v>
      </c>
    </row>
    <row r="12" customFormat="false" ht="14.25" hidden="false" customHeight="true" outlineLevel="0" collapsed="false">
      <c r="A12" s="3" t="s">
        <v>678</v>
      </c>
      <c r="B12" s="3" t="s">
        <v>77</v>
      </c>
      <c r="C12" s="3" t="s">
        <v>661</v>
      </c>
      <c r="D12" s="3" t="n">
        <v>8</v>
      </c>
      <c r="E12" s="4" t="n">
        <v>45460</v>
      </c>
      <c r="F12" s="3" t="s">
        <v>662</v>
      </c>
    </row>
    <row r="13" customFormat="false" ht="14.25" hidden="false" customHeight="true" outlineLevel="0" collapsed="false">
      <c r="A13" s="3" t="s">
        <v>679</v>
      </c>
      <c r="B13" s="3" t="s">
        <v>29</v>
      </c>
      <c r="C13" s="3" t="s">
        <v>664</v>
      </c>
      <c r="D13" s="3" t="n">
        <v>6</v>
      </c>
      <c r="E13" s="4" t="n">
        <v>45519</v>
      </c>
      <c r="F13" s="3" t="s">
        <v>662</v>
      </c>
    </row>
    <row r="14" customFormat="false" ht="14.25" hidden="false" customHeight="true" outlineLevel="0" collapsed="false">
      <c r="A14" s="3" t="s">
        <v>680</v>
      </c>
      <c r="B14" s="3" t="s">
        <v>24</v>
      </c>
      <c r="C14" s="3" t="s">
        <v>664</v>
      </c>
      <c r="D14" s="3" t="n">
        <v>3</v>
      </c>
      <c r="E14" s="4" t="n">
        <v>45416</v>
      </c>
      <c r="F14" s="3" t="s">
        <v>662</v>
      </c>
    </row>
    <row r="15" customFormat="false" ht="14.25" hidden="false" customHeight="true" outlineLevel="0" collapsed="false">
      <c r="A15" s="3" t="s">
        <v>681</v>
      </c>
      <c r="B15" s="3" t="s">
        <v>16</v>
      </c>
      <c r="C15" s="3" t="s">
        <v>661</v>
      </c>
      <c r="D15" s="3" t="n">
        <v>4</v>
      </c>
      <c r="E15" s="4" t="n">
        <v>45344</v>
      </c>
      <c r="F15" s="3" t="s">
        <v>662</v>
      </c>
    </row>
    <row r="16" customFormat="false" ht="14.25" hidden="false" customHeight="true" outlineLevel="0" collapsed="false">
      <c r="A16" s="3" t="s">
        <v>682</v>
      </c>
      <c r="B16" s="3" t="s">
        <v>77</v>
      </c>
      <c r="C16" s="3" t="s">
        <v>664</v>
      </c>
      <c r="D16" s="3" t="n">
        <v>7</v>
      </c>
      <c r="E16" s="4" t="n">
        <v>45311</v>
      </c>
      <c r="F16" s="3" t="s">
        <v>662</v>
      </c>
    </row>
    <row r="17" customFormat="false" ht="14.25" hidden="false" customHeight="true" outlineLevel="0" collapsed="false">
      <c r="A17" s="3" t="s">
        <v>683</v>
      </c>
      <c r="B17" s="3" t="s">
        <v>24</v>
      </c>
      <c r="C17" s="3" t="s">
        <v>676</v>
      </c>
      <c r="D17" s="3" t="n">
        <v>5</v>
      </c>
      <c r="E17" s="4" t="n">
        <v>45589</v>
      </c>
      <c r="F17" s="3" t="s">
        <v>662</v>
      </c>
    </row>
    <row r="18" customFormat="false" ht="14.25" hidden="false" customHeight="true" outlineLevel="0" collapsed="false">
      <c r="A18" s="3" t="s">
        <v>684</v>
      </c>
      <c r="B18" s="3" t="s">
        <v>24</v>
      </c>
      <c r="C18" s="3" t="s">
        <v>661</v>
      </c>
      <c r="D18" s="3" t="n">
        <v>0</v>
      </c>
      <c r="E18" s="4" t="n">
        <v>45615</v>
      </c>
      <c r="F18" s="3" t="s">
        <v>665</v>
      </c>
    </row>
    <row r="19" customFormat="false" ht="14.25" hidden="false" customHeight="true" outlineLevel="0" collapsed="false">
      <c r="A19" s="3" t="s">
        <v>685</v>
      </c>
      <c r="B19" s="3" t="s">
        <v>29</v>
      </c>
      <c r="C19" s="3" t="s">
        <v>667</v>
      </c>
      <c r="D19" s="3" t="n">
        <v>8</v>
      </c>
      <c r="E19" s="4" t="n">
        <v>45521</v>
      </c>
      <c r="F19" s="3" t="s">
        <v>662</v>
      </c>
    </row>
    <row r="20" customFormat="false" ht="14.25" hidden="false" customHeight="true" outlineLevel="0" collapsed="false">
      <c r="A20" s="3" t="s">
        <v>686</v>
      </c>
      <c r="B20" s="3" t="s">
        <v>24</v>
      </c>
      <c r="C20" s="3" t="s">
        <v>664</v>
      </c>
      <c r="D20" s="3" t="n">
        <v>8</v>
      </c>
      <c r="E20" s="4" t="n">
        <v>45476</v>
      </c>
      <c r="F20" s="3" t="s">
        <v>662</v>
      </c>
    </row>
    <row r="21" customFormat="false" ht="14.25" hidden="false" customHeight="true" outlineLevel="0" collapsed="false">
      <c r="A21" s="3" t="s">
        <v>687</v>
      </c>
      <c r="B21" s="3" t="s">
        <v>71</v>
      </c>
      <c r="C21" s="3" t="s">
        <v>667</v>
      </c>
      <c r="D21" s="3" t="n">
        <v>4</v>
      </c>
      <c r="E21" s="4" t="n">
        <v>45652</v>
      </c>
      <c r="F21" s="3" t="s">
        <v>677</v>
      </c>
    </row>
    <row r="22" customFormat="false" ht="14.25" hidden="false" customHeight="true" outlineLevel="0" collapsed="false">
      <c r="A22" s="3" t="s">
        <v>688</v>
      </c>
      <c r="B22" s="3" t="s">
        <v>16</v>
      </c>
      <c r="C22" s="3" t="s">
        <v>9</v>
      </c>
      <c r="D22" s="3" t="n">
        <v>0</v>
      </c>
      <c r="E22" s="4" t="s">
        <v>9</v>
      </c>
      <c r="F22" s="3" t="s">
        <v>665</v>
      </c>
    </row>
    <row r="23" customFormat="false" ht="14.25" hidden="false" customHeight="true" outlineLevel="0" collapsed="false">
      <c r="A23" s="3" t="s">
        <v>689</v>
      </c>
      <c r="B23" s="3" t="s">
        <v>24</v>
      </c>
      <c r="C23" s="3" t="s">
        <v>676</v>
      </c>
      <c r="D23" s="3" t="n">
        <v>5</v>
      </c>
      <c r="E23" s="4" t="n">
        <v>45635</v>
      </c>
      <c r="F23" s="3" t="s">
        <v>662</v>
      </c>
    </row>
    <row r="24" customFormat="false" ht="14.25" hidden="false" customHeight="true" outlineLevel="0" collapsed="false">
      <c r="A24" s="3" t="s">
        <v>690</v>
      </c>
      <c r="B24" s="3" t="s">
        <v>16</v>
      </c>
      <c r="C24" s="3" t="s">
        <v>691</v>
      </c>
      <c r="D24" s="3" t="n">
        <v>3</v>
      </c>
      <c r="E24" s="4" t="n">
        <v>45644</v>
      </c>
      <c r="F24" s="3" t="s">
        <v>677</v>
      </c>
    </row>
    <row r="25" customFormat="false" ht="14.25" hidden="false" customHeight="true" outlineLevel="0" collapsed="false">
      <c r="A25" s="3" t="s">
        <v>692</v>
      </c>
      <c r="B25" s="3" t="s">
        <v>77</v>
      </c>
      <c r="C25" s="3" t="s">
        <v>664</v>
      </c>
      <c r="D25" s="3" t="n">
        <v>1</v>
      </c>
      <c r="E25" s="4" t="n">
        <v>45641</v>
      </c>
      <c r="F25" s="3" t="s">
        <v>662</v>
      </c>
    </row>
    <row r="26" customFormat="false" ht="14.25" hidden="false" customHeight="true" outlineLevel="0" collapsed="false">
      <c r="A26" s="3" t="s">
        <v>693</v>
      </c>
      <c r="B26" s="3" t="s">
        <v>12</v>
      </c>
      <c r="C26" s="3" t="s">
        <v>676</v>
      </c>
      <c r="D26" s="3" t="n">
        <v>8</v>
      </c>
      <c r="E26" s="4" t="n">
        <v>45392</v>
      </c>
      <c r="F26" s="3" t="s">
        <v>662</v>
      </c>
    </row>
    <row r="27" customFormat="false" ht="14.25" hidden="false" customHeight="true" outlineLevel="0" collapsed="false">
      <c r="A27" s="3" t="s">
        <v>694</v>
      </c>
      <c r="B27" s="3" t="s">
        <v>77</v>
      </c>
      <c r="C27" s="3" t="s">
        <v>667</v>
      </c>
      <c r="D27" s="3" t="n">
        <v>0</v>
      </c>
      <c r="E27" s="4" t="n">
        <v>45558</v>
      </c>
      <c r="F27" s="3" t="s">
        <v>668</v>
      </c>
    </row>
    <row r="28" customFormat="false" ht="14.25" hidden="false" customHeight="true" outlineLevel="0" collapsed="false">
      <c r="A28" s="3" t="s">
        <v>695</v>
      </c>
      <c r="B28" s="3" t="s">
        <v>24</v>
      </c>
      <c r="C28" s="3" t="s">
        <v>691</v>
      </c>
      <c r="D28" s="3" t="n">
        <v>0</v>
      </c>
      <c r="E28" s="4" t="n">
        <v>45486</v>
      </c>
      <c r="F28" s="3" t="s">
        <v>668</v>
      </c>
    </row>
    <row r="29" customFormat="false" ht="14.25" hidden="false" customHeight="true" outlineLevel="0" collapsed="false">
      <c r="A29" s="3" t="s">
        <v>696</v>
      </c>
      <c r="B29" s="3" t="s">
        <v>12</v>
      </c>
      <c r="C29" s="3" t="s">
        <v>676</v>
      </c>
      <c r="D29" s="3" t="n">
        <v>8</v>
      </c>
      <c r="E29" s="4" t="n">
        <v>45322</v>
      </c>
      <c r="F29" s="3" t="s">
        <v>662</v>
      </c>
    </row>
    <row r="30" customFormat="false" ht="14.25" hidden="false" customHeight="true" outlineLevel="0" collapsed="false">
      <c r="A30" s="3" t="s">
        <v>697</v>
      </c>
      <c r="B30" s="3" t="s">
        <v>24</v>
      </c>
      <c r="C30" s="3" t="s">
        <v>661</v>
      </c>
      <c r="D30" s="3" t="n">
        <v>9</v>
      </c>
      <c r="E30" s="4" t="n">
        <v>45520</v>
      </c>
      <c r="F30" s="3" t="s">
        <v>662</v>
      </c>
    </row>
    <row r="31" customFormat="false" ht="14.25" hidden="false" customHeight="true" outlineLevel="0" collapsed="false">
      <c r="A31" s="3" t="s">
        <v>698</v>
      </c>
      <c r="B31" s="3" t="s">
        <v>71</v>
      </c>
      <c r="C31" s="3" t="s">
        <v>667</v>
      </c>
      <c r="D31" s="3" t="n">
        <v>2</v>
      </c>
      <c r="E31" s="4" t="n">
        <v>45622</v>
      </c>
      <c r="F31" s="3" t="s">
        <v>677</v>
      </c>
    </row>
    <row r="32" customFormat="false" ht="14.25" hidden="false" customHeight="true" outlineLevel="0" collapsed="false">
      <c r="A32" s="3" t="s">
        <v>699</v>
      </c>
      <c r="B32" s="3" t="s">
        <v>71</v>
      </c>
      <c r="C32" s="3" t="s">
        <v>664</v>
      </c>
      <c r="D32" s="3" t="n">
        <v>0</v>
      </c>
      <c r="E32" s="4" t="n">
        <v>45642</v>
      </c>
      <c r="F32" s="3" t="s">
        <v>665</v>
      </c>
    </row>
    <row r="33" customFormat="false" ht="14.25" hidden="false" customHeight="true" outlineLevel="0" collapsed="false">
      <c r="A33" s="3" t="s">
        <v>700</v>
      </c>
      <c r="B33" s="3" t="s">
        <v>24</v>
      </c>
      <c r="C33" s="3" t="s">
        <v>691</v>
      </c>
      <c r="D33" s="3" t="n">
        <v>0</v>
      </c>
      <c r="E33" s="4" t="n">
        <v>45384</v>
      </c>
      <c r="F33" s="3" t="s">
        <v>668</v>
      </c>
    </row>
    <row r="34" customFormat="false" ht="14.25" hidden="false" customHeight="true" outlineLevel="0" collapsed="false">
      <c r="A34" s="3" t="s">
        <v>701</v>
      </c>
      <c r="B34" s="3" t="s">
        <v>16</v>
      </c>
      <c r="C34" s="3" t="s">
        <v>667</v>
      </c>
      <c r="D34" s="3" t="n">
        <v>0</v>
      </c>
      <c r="E34" s="4" t="n">
        <v>45446</v>
      </c>
      <c r="F34" s="3" t="s">
        <v>668</v>
      </c>
    </row>
    <row r="35" customFormat="false" ht="14.25" hidden="false" customHeight="true" outlineLevel="0" collapsed="false">
      <c r="A35" s="3" t="s">
        <v>702</v>
      </c>
      <c r="B35" s="3" t="s">
        <v>29</v>
      </c>
      <c r="C35" s="3" t="s">
        <v>667</v>
      </c>
      <c r="D35" s="3" t="n">
        <v>7</v>
      </c>
      <c r="E35" s="4" t="n">
        <v>45383</v>
      </c>
      <c r="F35" s="3" t="s">
        <v>677</v>
      </c>
    </row>
    <row r="36" customFormat="false" ht="14.25" hidden="false" customHeight="true" outlineLevel="0" collapsed="false">
      <c r="A36" s="3" t="s">
        <v>703</v>
      </c>
      <c r="B36" s="3" t="s">
        <v>16</v>
      </c>
      <c r="C36" s="3" t="s">
        <v>676</v>
      </c>
      <c r="D36" s="3" t="n">
        <v>0</v>
      </c>
      <c r="E36" s="4" t="n">
        <v>45646</v>
      </c>
      <c r="F36" s="3" t="s">
        <v>665</v>
      </c>
    </row>
    <row r="37" customFormat="false" ht="14.25" hidden="false" customHeight="true" outlineLevel="0" collapsed="false">
      <c r="A37" s="3" t="s">
        <v>704</v>
      </c>
      <c r="B37" s="3" t="s">
        <v>77</v>
      </c>
      <c r="C37" s="3" t="s">
        <v>691</v>
      </c>
      <c r="D37" s="3" t="n">
        <v>0</v>
      </c>
      <c r="E37" s="4" t="n">
        <v>45647</v>
      </c>
      <c r="F37" s="3" t="s">
        <v>668</v>
      </c>
    </row>
    <row r="38" customFormat="false" ht="14.25" hidden="false" customHeight="true" outlineLevel="0" collapsed="false">
      <c r="A38" s="3" t="s">
        <v>705</v>
      </c>
      <c r="B38" s="3" t="s">
        <v>77</v>
      </c>
      <c r="C38" s="3" t="s">
        <v>676</v>
      </c>
      <c r="D38" s="3" t="n">
        <v>4</v>
      </c>
      <c r="E38" s="4" t="n">
        <v>45416</v>
      </c>
      <c r="F38" s="3" t="s">
        <v>662</v>
      </c>
    </row>
    <row r="39" customFormat="false" ht="14.25" hidden="false" customHeight="true" outlineLevel="0" collapsed="false">
      <c r="A39" s="3" t="s">
        <v>706</v>
      </c>
      <c r="B39" s="3" t="s">
        <v>16</v>
      </c>
      <c r="C39" s="3" t="s">
        <v>664</v>
      </c>
      <c r="D39" s="3" t="n">
        <v>8</v>
      </c>
      <c r="E39" s="4" t="n">
        <v>45387</v>
      </c>
      <c r="F39" s="3" t="s">
        <v>662</v>
      </c>
    </row>
    <row r="40" customFormat="false" ht="14.25" hidden="false" customHeight="true" outlineLevel="0" collapsed="false">
      <c r="A40" s="3" t="s">
        <v>707</v>
      </c>
      <c r="B40" s="3" t="s">
        <v>29</v>
      </c>
      <c r="C40" s="3" t="s">
        <v>667</v>
      </c>
      <c r="D40" s="3" t="n">
        <v>7</v>
      </c>
      <c r="E40" s="4" t="n">
        <v>45372</v>
      </c>
      <c r="F40" s="3" t="s">
        <v>677</v>
      </c>
    </row>
    <row r="41" customFormat="false" ht="14.25" hidden="false" customHeight="true" outlineLevel="0" collapsed="false">
      <c r="A41" s="3" t="s">
        <v>708</v>
      </c>
      <c r="B41" s="3" t="s">
        <v>24</v>
      </c>
      <c r="C41" s="3" t="s">
        <v>661</v>
      </c>
      <c r="D41" s="3" t="n">
        <v>2</v>
      </c>
      <c r="E41" s="4" t="n">
        <v>45605</v>
      </c>
      <c r="F41" s="3" t="s">
        <v>662</v>
      </c>
    </row>
    <row r="42" customFormat="false" ht="14.25" hidden="false" customHeight="true" outlineLevel="0" collapsed="false">
      <c r="A42" s="3" t="s">
        <v>709</v>
      </c>
      <c r="B42" s="3" t="s">
        <v>77</v>
      </c>
      <c r="C42" s="3" t="s">
        <v>691</v>
      </c>
      <c r="D42" s="3" t="n">
        <v>4</v>
      </c>
      <c r="E42" s="4" t="n">
        <v>45378</v>
      </c>
      <c r="F42" s="3" t="s">
        <v>677</v>
      </c>
    </row>
    <row r="43" customFormat="false" ht="14.25" hidden="false" customHeight="true" outlineLevel="0" collapsed="false">
      <c r="A43" s="3" t="s">
        <v>710</v>
      </c>
      <c r="B43" s="3" t="s">
        <v>71</v>
      </c>
      <c r="C43" s="3" t="s">
        <v>664</v>
      </c>
      <c r="D43" s="3" t="n">
        <v>2</v>
      </c>
      <c r="E43" s="4" t="n">
        <v>45506</v>
      </c>
      <c r="F43" s="3" t="s">
        <v>662</v>
      </c>
    </row>
    <row r="44" customFormat="false" ht="14.25" hidden="false" customHeight="true" outlineLevel="0" collapsed="false">
      <c r="A44" s="3" t="s">
        <v>711</v>
      </c>
      <c r="B44" s="3" t="s">
        <v>77</v>
      </c>
      <c r="C44" s="3" t="s">
        <v>691</v>
      </c>
      <c r="D44" s="3" t="n">
        <v>3</v>
      </c>
      <c r="E44" s="4" t="n">
        <v>45507</v>
      </c>
      <c r="F44" s="3" t="s">
        <v>677</v>
      </c>
    </row>
    <row r="45" customFormat="false" ht="14.25" hidden="false" customHeight="true" outlineLevel="0" collapsed="false">
      <c r="A45" s="3" t="s">
        <v>9</v>
      </c>
      <c r="B45" s="3" t="s">
        <v>71</v>
      </c>
      <c r="C45" s="3" t="s">
        <v>9</v>
      </c>
      <c r="D45" s="3" t="n">
        <v>1</v>
      </c>
      <c r="E45" s="4" t="s">
        <v>9</v>
      </c>
      <c r="F45" s="3" t="s">
        <v>662</v>
      </c>
    </row>
    <row r="46" customFormat="false" ht="14.25" hidden="false" customHeight="true" outlineLevel="0" collapsed="false">
      <c r="A46" s="3" t="s">
        <v>712</v>
      </c>
      <c r="B46" s="3" t="s">
        <v>77</v>
      </c>
      <c r="C46" s="3" t="s">
        <v>661</v>
      </c>
      <c r="D46" s="3" t="n">
        <v>9</v>
      </c>
      <c r="E46" s="4" t="n">
        <v>45313</v>
      </c>
      <c r="F46" s="3" t="s">
        <v>662</v>
      </c>
    </row>
    <row r="47" customFormat="false" ht="14.25" hidden="false" customHeight="true" outlineLevel="0" collapsed="false">
      <c r="A47" s="3" t="s">
        <v>713</v>
      </c>
      <c r="B47" s="3" t="s">
        <v>29</v>
      </c>
      <c r="C47" s="3" t="s">
        <v>676</v>
      </c>
      <c r="D47" s="3" t="n">
        <v>8</v>
      </c>
      <c r="E47" s="4" t="n">
        <v>45347</v>
      </c>
      <c r="F47" s="3" t="s">
        <v>662</v>
      </c>
    </row>
    <row r="48" customFormat="false" ht="14.25" hidden="false" customHeight="true" outlineLevel="0" collapsed="false">
      <c r="A48" s="3" t="s">
        <v>714</v>
      </c>
      <c r="B48" s="3" t="s">
        <v>29</v>
      </c>
      <c r="C48" s="3" t="s">
        <v>661</v>
      </c>
      <c r="D48" s="3" t="n">
        <v>7</v>
      </c>
      <c r="E48" s="4" t="n">
        <v>45466</v>
      </c>
      <c r="F48" s="3" t="s">
        <v>662</v>
      </c>
    </row>
    <row r="49" customFormat="false" ht="14.25" hidden="false" customHeight="true" outlineLevel="0" collapsed="false">
      <c r="A49" s="3" t="s">
        <v>715</v>
      </c>
      <c r="B49" s="3" t="s">
        <v>29</v>
      </c>
      <c r="C49" s="3" t="s">
        <v>664</v>
      </c>
      <c r="D49" s="3" t="n">
        <v>9</v>
      </c>
      <c r="E49" s="4" t="n">
        <v>45350</v>
      </c>
      <c r="F49" s="3" t="s">
        <v>662</v>
      </c>
    </row>
    <row r="50" customFormat="false" ht="14.25" hidden="false" customHeight="true" outlineLevel="0" collapsed="false">
      <c r="A50" s="3" t="s">
        <v>716</v>
      </c>
      <c r="B50" s="3" t="s">
        <v>12</v>
      </c>
      <c r="C50" s="3" t="s">
        <v>676</v>
      </c>
      <c r="D50" s="3" t="n">
        <v>3</v>
      </c>
      <c r="E50" s="4" t="n">
        <v>45590</v>
      </c>
      <c r="F50" s="3" t="s">
        <v>662</v>
      </c>
    </row>
    <row r="51" customFormat="false" ht="14.25" hidden="false" customHeight="true" outlineLevel="0" collapsed="false">
      <c r="A51" s="3" t="s">
        <v>717</v>
      </c>
      <c r="B51" s="3" t="s">
        <v>29</v>
      </c>
      <c r="C51" s="3" t="s">
        <v>664</v>
      </c>
      <c r="D51" s="3" t="n">
        <v>7</v>
      </c>
      <c r="E51" s="4" t="n">
        <v>45324</v>
      </c>
      <c r="F51" s="3" t="s">
        <v>677</v>
      </c>
    </row>
    <row r="52" customFormat="false" ht="14.25" hidden="false" customHeight="true" outlineLevel="0" collapsed="false">
      <c r="A52" s="3" t="s">
        <v>718</v>
      </c>
      <c r="B52" s="3" t="s">
        <v>71</v>
      </c>
      <c r="C52" s="3" t="s">
        <v>676</v>
      </c>
      <c r="D52" s="3" t="n">
        <v>9</v>
      </c>
      <c r="E52" s="4" t="n">
        <v>45630</v>
      </c>
      <c r="F52" s="3" t="s">
        <v>662</v>
      </c>
    </row>
    <row r="53" customFormat="false" ht="14.25" hidden="false" customHeight="true" outlineLevel="0" collapsed="false">
      <c r="A53" s="3" t="s">
        <v>719</v>
      </c>
      <c r="B53" s="3" t="s">
        <v>29</v>
      </c>
      <c r="C53" s="3" t="s">
        <v>676</v>
      </c>
      <c r="D53" s="3" t="n">
        <v>9</v>
      </c>
      <c r="E53" s="4" t="n">
        <v>45482</v>
      </c>
      <c r="F53" s="3" t="s">
        <v>662</v>
      </c>
    </row>
    <row r="54" customFormat="false" ht="14.25" hidden="false" customHeight="true" outlineLevel="0" collapsed="false">
      <c r="A54" s="3" t="s">
        <v>720</v>
      </c>
      <c r="B54" s="3" t="s">
        <v>24</v>
      </c>
      <c r="C54" s="3" t="s">
        <v>676</v>
      </c>
      <c r="D54" s="3" t="n">
        <v>3</v>
      </c>
      <c r="E54" s="4" t="n">
        <v>45370</v>
      </c>
      <c r="F54" s="3" t="s">
        <v>662</v>
      </c>
    </row>
    <row r="55" customFormat="false" ht="14.25" hidden="false" customHeight="true" outlineLevel="0" collapsed="false">
      <c r="A55" s="3" t="s">
        <v>721</v>
      </c>
      <c r="B55" s="3" t="s">
        <v>24</v>
      </c>
      <c r="C55" s="3" t="s">
        <v>691</v>
      </c>
      <c r="D55" s="3" t="n">
        <v>9</v>
      </c>
      <c r="E55" s="4" t="n">
        <v>45362</v>
      </c>
      <c r="F55" s="3" t="s">
        <v>662</v>
      </c>
    </row>
    <row r="56" customFormat="false" ht="14.25" hidden="false" customHeight="true" outlineLevel="0" collapsed="false">
      <c r="A56" s="3" t="s">
        <v>722</v>
      </c>
      <c r="B56" s="3" t="s">
        <v>77</v>
      </c>
      <c r="C56" s="3" t="s">
        <v>676</v>
      </c>
      <c r="D56" s="3" t="n">
        <v>8</v>
      </c>
      <c r="E56" s="4" t="n">
        <v>45633</v>
      </c>
      <c r="F56" s="3" t="s">
        <v>662</v>
      </c>
    </row>
    <row r="57" customFormat="false" ht="14.25" hidden="false" customHeight="true" outlineLevel="0" collapsed="false">
      <c r="A57" s="3" t="s">
        <v>723</v>
      </c>
      <c r="B57" s="3" t="s">
        <v>77</v>
      </c>
      <c r="C57" s="3" t="s">
        <v>661</v>
      </c>
      <c r="D57" s="3" t="n">
        <v>7</v>
      </c>
      <c r="E57" s="4" t="n">
        <v>45556</v>
      </c>
      <c r="F57" s="3" t="s">
        <v>662</v>
      </c>
    </row>
    <row r="58" customFormat="false" ht="14.25" hidden="false" customHeight="true" outlineLevel="0" collapsed="false">
      <c r="A58" s="3" t="s">
        <v>724</v>
      </c>
      <c r="B58" s="3" t="s">
        <v>29</v>
      </c>
      <c r="C58" s="3" t="s">
        <v>691</v>
      </c>
      <c r="D58" s="3" t="n">
        <v>4</v>
      </c>
      <c r="E58" s="4" t="n">
        <v>45551</v>
      </c>
      <c r="F58" s="3" t="s">
        <v>662</v>
      </c>
    </row>
    <row r="59" customFormat="false" ht="14.25" hidden="false" customHeight="true" outlineLevel="0" collapsed="false">
      <c r="A59" s="3" t="s">
        <v>725</v>
      </c>
      <c r="B59" s="3" t="s">
        <v>24</v>
      </c>
      <c r="C59" s="3" t="s">
        <v>661</v>
      </c>
      <c r="D59" s="3" t="n">
        <v>0</v>
      </c>
      <c r="E59" s="4" t="n">
        <v>45585</v>
      </c>
      <c r="F59" s="3" t="s">
        <v>665</v>
      </c>
    </row>
    <row r="60" customFormat="false" ht="14.25" hidden="false" customHeight="true" outlineLevel="0" collapsed="false">
      <c r="A60" s="3" t="s">
        <v>726</v>
      </c>
      <c r="B60" s="3" t="s">
        <v>71</v>
      </c>
      <c r="C60" s="3" t="s">
        <v>676</v>
      </c>
      <c r="D60" s="3" t="n">
        <v>0</v>
      </c>
      <c r="E60" s="4" t="n">
        <v>45517</v>
      </c>
      <c r="F60" s="3" t="s">
        <v>665</v>
      </c>
    </row>
    <row r="61" customFormat="false" ht="14.25" hidden="false" customHeight="true" outlineLevel="0" collapsed="false">
      <c r="A61" s="3" t="s">
        <v>727</v>
      </c>
      <c r="B61" s="3" t="s">
        <v>77</v>
      </c>
      <c r="C61" s="3" t="s">
        <v>691</v>
      </c>
      <c r="D61" s="3" t="n">
        <v>1</v>
      </c>
      <c r="E61" s="4" t="n">
        <v>45623</v>
      </c>
      <c r="F61" s="3" t="s">
        <v>677</v>
      </c>
    </row>
    <row r="62" customFormat="false" ht="14.25" hidden="false" customHeight="true" outlineLevel="0" collapsed="false">
      <c r="A62" s="3" t="s">
        <v>728</v>
      </c>
      <c r="B62" s="3" t="s">
        <v>12</v>
      </c>
      <c r="C62" s="3" t="s">
        <v>667</v>
      </c>
      <c r="D62" s="3" t="n">
        <v>5</v>
      </c>
      <c r="E62" s="4" t="n">
        <v>45298</v>
      </c>
      <c r="F62" s="3" t="s">
        <v>662</v>
      </c>
    </row>
    <row r="63" customFormat="false" ht="14.25" hidden="false" customHeight="true" outlineLevel="0" collapsed="false">
      <c r="A63" s="3" t="s">
        <v>729</v>
      </c>
      <c r="B63" s="3" t="s">
        <v>12</v>
      </c>
      <c r="C63" s="3" t="s">
        <v>667</v>
      </c>
      <c r="D63" s="3" t="n">
        <v>6</v>
      </c>
      <c r="E63" s="4" t="n">
        <v>45350</v>
      </c>
      <c r="F63" s="3" t="s">
        <v>662</v>
      </c>
    </row>
    <row r="64" customFormat="false" ht="14.25" hidden="false" customHeight="true" outlineLevel="0" collapsed="false">
      <c r="A64" s="3" t="s">
        <v>730</v>
      </c>
      <c r="B64" s="3" t="s">
        <v>12</v>
      </c>
      <c r="C64" s="3" t="s">
        <v>667</v>
      </c>
      <c r="D64" s="3" t="n">
        <v>0</v>
      </c>
      <c r="E64" s="4" t="n">
        <v>45545</v>
      </c>
      <c r="F64" s="3" t="s">
        <v>668</v>
      </c>
    </row>
    <row r="65" customFormat="false" ht="14.25" hidden="false" customHeight="true" outlineLevel="0" collapsed="false">
      <c r="A65" s="3" t="s">
        <v>731</v>
      </c>
      <c r="B65" s="3" t="s">
        <v>12</v>
      </c>
      <c r="C65" s="3" t="s">
        <v>691</v>
      </c>
      <c r="D65" s="3" t="n">
        <v>0</v>
      </c>
      <c r="E65" s="4" t="n">
        <v>45648</v>
      </c>
      <c r="F65" s="3" t="s">
        <v>668</v>
      </c>
    </row>
    <row r="66" customFormat="false" ht="14.25" hidden="false" customHeight="true" outlineLevel="0" collapsed="false">
      <c r="A66" s="3" t="s">
        <v>732</v>
      </c>
      <c r="B66" s="3" t="s">
        <v>24</v>
      </c>
      <c r="C66" s="3" t="s">
        <v>661</v>
      </c>
      <c r="D66" s="3" t="n">
        <v>2</v>
      </c>
      <c r="E66" s="4" t="n">
        <v>45307</v>
      </c>
      <c r="F66" s="3" t="s">
        <v>662</v>
      </c>
    </row>
    <row r="67" customFormat="false" ht="14.25" hidden="false" customHeight="true" outlineLevel="0" collapsed="false">
      <c r="A67" s="3" t="s">
        <v>733</v>
      </c>
      <c r="B67" s="3" t="s">
        <v>16</v>
      </c>
      <c r="C67" s="3" t="s">
        <v>667</v>
      </c>
      <c r="D67" s="3" t="n">
        <v>7</v>
      </c>
      <c r="E67" s="4" t="n">
        <v>45645</v>
      </c>
      <c r="F67" s="3" t="s">
        <v>662</v>
      </c>
    </row>
    <row r="68" customFormat="false" ht="14.25" hidden="false" customHeight="true" outlineLevel="0" collapsed="false">
      <c r="A68" s="3" t="s">
        <v>734</v>
      </c>
      <c r="B68" s="3" t="s">
        <v>77</v>
      </c>
      <c r="C68" s="3" t="s">
        <v>676</v>
      </c>
      <c r="D68" s="3" t="n">
        <v>9</v>
      </c>
      <c r="E68" s="4" t="n">
        <v>45617</v>
      </c>
      <c r="F68" s="3" t="s">
        <v>662</v>
      </c>
    </row>
    <row r="69" customFormat="false" ht="14.25" hidden="false" customHeight="true" outlineLevel="0" collapsed="false">
      <c r="A69" s="3" t="s">
        <v>735</v>
      </c>
      <c r="B69" s="3" t="s">
        <v>24</v>
      </c>
      <c r="C69" s="3" t="s">
        <v>691</v>
      </c>
      <c r="D69" s="3" t="n">
        <v>8</v>
      </c>
      <c r="E69" s="4" t="n">
        <v>45387</v>
      </c>
      <c r="F69" s="3" t="s">
        <v>677</v>
      </c>
    </row>
    <row r="70" customFormat="false" ht="14.25" hidden="false" customHeight="true" outlineLevel="0" collapsed="false">
      <c r="A70" s="3" t="s">
        <v>736</v>
      </c>
      <c r="B70" s="3" t="s">
        <v>12</v>
      </c>
      <c r="C70" s="3" t="s">
        <v>676</v>
      </c>
      <c r="D70" s="3" t="n">
        <v>5</v>
      </c>
      <c r="E70" s="4" t="n">
        <v>45485</v>
      </c>
      <c r="F70" s="3" t="s">
        <v>662</v>
      </c>
    </row>
    <row r="71" customFormat="false" ht="14.25" hidden="false" customHeight="true" outlineLevel="0" collapsed="false">
      <c r="A71" s="3" t="s">
        <v>737</v>
      </c>
      <c r="B71" s="3" t="s">
        <v>71</v>
      </c>
      <c r="C71" s="3" t="s">
        <v>691</v>
      </c>
      <c r="D71" s="3" t="n">
        <v>5</v>
      </c>
      <c r="E71" s="4" t="n">
        <v>45410</v>
      </c>
      <c r="F71" s="3" t="s">
        <v>662</v>
      </c>
    </row>
    <row r="72" customFormat="false" ht="14.25" hidden="false" customHeight="true" outlineLevel="0" collapsed="false">
      <c r="A72" s="3" t="s">
        <v>738</v>
      </c>
      <c r="B72" s="3" t="s">
        <v>12</v>
      </c>
      <c r="C72" s="3" t="s">
        <v>661</v>
      </c>
      <c r="D72" s="3" t="n">
        <v>0</v>
      </c>
      <c r="E72" s="4" t="n">
        <v>45457</v>
      </c>
      <c r="F72" s="3" t="s">
        <v>665</v>
      </c>
    </row>
    <row r="73" customFormat="false" ht="14.25" hidden="false" customHeight="true" outlineLevel="0" collapsed="false">
      <c r="A73" s="3" t="s">
        <v>739</v>
      </c>
      <c r="B73" s="3" t="s">
        <v>71</v>
      </c>
      <c r="C73" s="3" t="s">
        <v>676</v>
      </c>
      <c r="D73" s="3" t="n">
        <v>8</v>
      </c>
      <c r="E73" s="4" t="n">
        <v>45407</v>
      </c>
      <c r="F73" s="3" t="s">
        <v>662</v>
      </c>
    </row>
    <row r="74" customFormat="false" ht="14.25" hidden="false" customHeight="true" outlineLevel="0" collapsed="false">
      <c r="A74" s="3" t="s">
        <v>740</v>
      </c>
      <c r="B74" s="3" t="s">
        <v>24</v>
      </c>
      <c r="C74" s="3" t="s">
        <v>667</v>
      </c>
      <c r="D74" s="3" t="n">
        <v>3</v>
      </c>
      <c r="E74" s="4" t="n">
        <v>45416</v>
      </c>
      <c r="F74" s="3" t="s">
        <v>677</v>
      </c>
    </row>
    <row r="75" customFormat="false" ht="14.25" hidden="false" customHeight="true" outlineLevel="0" collapsed="false">
      <c r="A75" s="3" t="s">
        <v>741</v>
      </c>
      <c r="B75" s="3" t="s">
        <v>12</v>
      </c>
      <c r="C75" s="3" t="s">
        <v>664</v>
      </c>
      <c r="D75" s="3" t="n">
        <v>0</v>
      </c>
      <c r="E75" s="4" t="n">
        <v>45493</v>
      </c>
      <c r="F75" s="3" t="s">
        <v>665</v>
      </c>
    </row>
    <row r="76" customFormat="false" ht="14.25" hidden="false" customHeight="true" outlineLevel="0" collapsed="false">
      <c r="A76" s="3" t="s">
        <v>742</v>
      </c>
      <c r="B76" s="3" t="s">
        <v>29</v>
      </c>
      <c r="C76" s="3" t="s">
        <v>691</v>
      </c>
      <c r="D76" s="3" t="n">
        <v>0</v>
      </c>
      <c r="E76" s="4" t="n">
        <v>45392</v>
      </c>
      <c r="F76" s="3" t="s">
        <v>668</v>
      </c>
    </row>
    <row r="77" customFormat="false" ht="14.25" hidden="false" customHeight="true" outlineLevel="0" collapsed="false">
      <c r="A77" s="3" t="s">
        <v>743</v>
      </c>
      <c r="B77" s="3" t="s">
        <v>9</v>
      </c>
      <c r="C77" s="3" t="s">
        <v>664</v>
      </c>
      <c r="D77" s="3" t="n">
        <v>2</v>
      </c>
      <c r="E77" s="4" t="s">
        <v>9</v>
      </c>
      <c r="F77" s="3" t="s">
        <v>662</v>
      </c>
    </row>
    <row r="78" customFormat="false" ht="14.25" hidden="false" customHeight="true" outlineLevel="0" collapsed="false">
      <c r="A78" s="3" t="s">
        <v>744</v>
      </c>
      <c r="B78" s="3" t="s">
        <v>12</v>
      </c>
      <c r="C78" s="3" t="s">
        <v>676</v>
      </c>
      <c r="D78" s="3" t="n">
        <v>7</v>
      </c>
      <c r="E78" s="4" t="n">
        <v>45651</v>
      </c>
      <c r="F78" s="3" t="s">
        <v>662</v>
      </c>
    </row>
    <row r="79" customFormat="false" ht="14.25" hidden="false" customHeight="true" outlineLevel="0" collapsed="false">
      <c r="A79" s="3" t="s">
        <v>745</v>
      </c>
      <c r="B79" s="3" t="s">
        <v>16</v>
      </c>
      <c r="C79" s="3" t="s">
        <v>664</v>
      </c>
      <c r="D79" s="3" t="n">
        <v>6</v>
      </c>
      <c r="E79" s="4" t="n">
        <v>45464</v>
      </c>
      <c r="F79" s="3" t="s">
        <v>662</v>
      </c>
    </row>
    <row r="80" customFormat="false" ht="14.25" hidden="false" customHeight="true" outlineLevel="0" collapsed="false">
      <c r="A80" s="3" t="s">
        <v>746</v>
      </c>
      <c r="B80" s="3" t="s">
        <v>16</v>
      </c>
      <c r="C80" s="3" t="s">
        <v>667</v>
      </c>
      <c r="D80" s="3" t="n">
        <v>2</v>
      </c>
      <c r="E80" s="4" t="n">
        <v>45504</v>
      </c>
      <c r="F80" s="3" t="s">
        <v>662</v>
      </c>
    </row>
    <row r="81" customFormat="false" ht="14.25" hidden="false" customHeight="true" outlineLevel="0" collapsed="false">
      <c r="A81" s="3" t="s">
        <v>747</v>
      </c>
      <c r="B81" s="3" t="s">
        <v>24</v>
      </c>
      <c r="C81" s="3" t="s">
        <v>691</v>
      </c>
      <c r="D81" s="3" t="n">
        <v>2</v>
      </c>
      <c r="E81" s="4" t="n">
        <v>45594</v>
      </c>
      <c r="F81" s="3" t="s">
        <v>677</v>
      </c>
    </row>
    <row r="82" customFormat="false" ht="14.25" hidden="false" customHeight="true" outlineLevel="0" collapsed="false">
      <c r="A82" s="3" t="s">
        <v>748</v>
      </c>
      <c r="B82" s="3" t="s">
        <v>12</v>
      </c>
      <c r="C82" s="3" t="s">
        <v>691</v>
      </c>
      <c r="D82" s="3" t="n">
        <v>6</v>
      </c>
      <c r="E82" s="4" t="n">
        <v>45614</v>
      </c>
      <c r="F82" s="3" t="s">
        <v>662</v>
      </c>
    </row>
    <row r="83" customFormat="false" ht="14.25" hidden="false" customHeight="true" outlineLevel="0" collapsed="false">
      <c r="A83" s="3" t="s">
        <v>749</v>
      </c>
      <c r="B83" s="3" t="s">
        <v>29</v>
      </c>
      <c r="C83" s="3" t="s">
        <v>667</v>
      </c>
      <c r="D83" s="3" t="n">
        <v>7</v>
      </c>
      <c r="E83" s="4" t="n">
        <v>45541</v>
      </c>
      <c r="F83" s="3" t="s">
        <v>677</v>
      </c>
    </row>
    <row r="84" customFormat="false" ht="14.25" hidden="false" customHeight="true" outlineLevel="0" collapsed="false">
      <c r="A84" s="3" t="s">
        <v>750</v>
      </c>
      <c r="B84" s="3" t="s">
        <v>71</v>
      </c>
      <c r="C84" s="3" t="s">
        <v>691</v>
      </c>
      <c r="D84" s="3" t="n">
        <v>0</v>
      </c>
      <c r="E84" s="4" t="n">
        <v>45440</v>
      </c>
      <c r="F84" s="3" t="s">
        <v>668</v>
      </c>
    </row>
    <row r="85" customFormat="false" ht="14.25" hidden="false" customHeight="true" outlineLevel="0" collapsed="false">
      <c r="A85" s="3" t="s">
        <v>751</v>
      </c>
      <c r="B85" s="3" t="s">
        <v>16</v>
      </c>
      <c r="C85" s="3" t="s">
        <v>661</v>
      </c>
      <c r="D85" s="3" t="n">
        <v>0</v>
      </c>
      <c r="E85" s="4" t="n">
        <v>45307</v>
      </c>
      <c r="F85" s="3" t="s">
        <v>665</v>
      </c>
    </row>
    <row r="86" customFormat="false" ht="14.25" hidden="false" customHeight="true" outlineLevel="0" collapsed="false">
      <c r="A86" s="3" t="s">
        <v>752</v>
      </c>
      <c r="B86" s="3" t="s">
        <v>77</v>
      </c>
      <c r="C86" s="3" t="s">
        <v>664</v>
      </c>
      <c r="D86" s="3" t="n">
        <v>0</v>
      </c>
      <c r="E86" s="4" t="n">
        <v>45351</v>
      </c>
      <c r="F86" s="3" t="s">
        <v>665</v>
      </c>
    </row>
    <row r="87" customFormat="false" ht="14.25" hidden="false" customHeight="true" outlineLevel="0" collapsed="false">
      <c r="A87" s="3" t="s">
        <v>753</v>
      </c>
      <c r="B87" s="3" t="s">
        <v>12</v>
      </c>
      <c r="C87" s="3" t="s">
        <v>667</v>
      </c>
      <c r="D87" s="3" t="n">
        <v>9</v>
      </c>
      <c r="E87" s="4" t="n">
        <v>45523</v>
      </c>
      <c r="F87" s="3" t="s">
        <v>677</v>
      </c>
    </row>
    <row r="88" customFormat="false" ht="14.25" hidden="false" customHeight="true" outlineLevel="0" collapsed="false">
      <c r="A88" s="3" t="s">
        <v>754</v>
      </c>
      <c r="B88" s="3" t="s">
        <v>77</v>
      </c>
      <c r="C88" s="3" t="s">
        <v>664</v>
      </c>
      <c r="D88" s="3" t="n">
        <v>5</v>
      </c>
      <c r="E88" s="4" t="n">
        <v>45534</v>
      </c>
      <c r="F88" s="3" t="s">
        <v>662</v>
      </c>
    </row>
    <row r="89" customFormat="false" ht="14.25" hidden="false" customHeight="true" outlineLevel="0" collapsed="false">
      <c r="A89" s="3" t="s">
        <v>755</v>
      </c>
      <c r="B89" s="3" t="s">
        <v>16</v>
      </c>
      <c r="C89" s="3" t="s">
        <v>664</v>
      </c>
      <c r="D89" s="3" t="n">
        <v>7</v>
      </c>
      <c r="E89" s="4" t="n">
        <v>45386</v>
      </c>
      <c r="F89" s="3" t="s">
        <v>662</v>
      </c>
    </row>
    <row r="90" customFormat="false" ht="14.25" hidden="false" customHeight="true" outlineLevel="0" collapsed="false">
      <c r="A90" s="3" t="s">
        <v>756</v>
      </c>
      <c r="B90" s="3" t="s">
        <v>77</v>
      </c>
      <c r="C90" s="3" t="s">
        <v>667</v>
      </c>
      <c r="D90" s="3" t="n">
        <v>2</v>
      </c>
      <c r="E90" s="4" t="n">
        <v>45386</v>
      </c>
      <c r="F90" s="3" t="s">
        <v>677</v>
      </c>
    </row>
    <row r="91" customFormat="false" ht="14.25" hidden="false" customHeight="true" outlineLevel="0" collapsed="false">
      <c r="A91" s="3" t="s">
        <v>757</v>
      </c>
      <c r="B91" s="3" t="s">
        <v>71</v>
      </c>
      <c r="C91" s="3" t="s">
        <v>691</v>
      </c>
      <c r="D91" s="3" t="n">
        <v>0</v>
      </c>
      <c r="E91" s="4" t="n">
        <v>45468</v>
      </c>
      <c r="F91" s="3" t="s">
        <v>668</v>
      </c>
    </row>
    <row r="92" customFormat="false" ht="14.25" hidden="false" customHeight="true" outlineLevel="0" collapsed="false">
      <c r="A92" s="3" t="s">
        <v>758</v>
      </c>
      <c r="B92" s="3" t="s">
        <v>16</v>
      </c>
      <c r="C92" s="3" t="s">
        <v>676</v>
      </c>
      <c r="D92" s="3" t="n">
        <v>2</v>
      </c>
      <c r="E92" s="4" t="n">
        <v>45390</v>
      </c>
      <c r="F92" s="3" t="s">
        <v>662</v>
      </c>
    </row>
    <row r="93" customFormat="false" ht="14.25" hidden="false" customHeight="true" outlineLevel="0" collapsed="false">
      <c r="A93" s="3" t="s">
        <v>759</v>
      </c>
      <c r="B93" s="3" t="s">
        <v>77</v>
      </c>
      <c r="C93" s="3" t="s">
        <v>661</v>
      </c>
      <c r="D93" s="3" t="n">
        <v>0</v>
      </c>
      <c r="E93" s="4" t="n">
        <v>45654</v>
      </c>
      <c r="F93" s="3" t="s">
        <v>665</v>
      </c>
    </row>
    <row r="94" customFormat="false" ht="14.25" hidden="false" customHeight="true" outlineLevel="0" collapsed="false">
      <c r="A94" s="3" t="s">
        <v>760</v>
      </c>
      <c r="B94" s="3" t="s">
        <v>77</v>
      </c>
      <c r="C94" s="3" t="s">
        <v>676</v>
      </c>
      <c r="D94" s="3" t="n">
        <v>0</v>
      </c>
      <c r="E94" s="4" t="n">
        <v>45454</v>
      </c>
      <c r="F94" s="3" t="s">
        <v>665</v>
      </c>
    </row>
    <row r="95" customFormat="false" ht="14.25" hidden="false" customHeight="true" outlineLevel="0" collapsed="false">
      <c r="A95" s="3" t="s">
        <v>761</v>
      </c>
      <c r="B95" s="3" t="s">
        <v>71</v>
      </c>
      <c r="C95" s="3" t="s">
        <v>667</v>
      </c>
      <c r="D95" s="3" t="n">
        <v>6</v>
      </c>
      <c r="E95" s="4" t="n">
        <v>45449</v>
      </c>
      <c r="F95" s="3" t="s">
        <v>662</v>
      </c>
    </row>
    <row r="96" customFormat="false" ht="14.25" hidden="false" customHeight="true" outlineLevel="0" collapsed="false">
      <c r="A96" s="3" t="s">
        <v>762</v>
      </c>
      <c r="B96" s="3" t="s">
        <v>71</v>
      </c>
      <c r="C96" s="3" t="s">
        <v>664</v>
      </c>
      <c r="D96" s="3" t="n">
        <v>0</v>
      </c>
      <c r="E96" s="4" t="n">
        <v>45600</v>
      </c>
      <c r="F96" s="3" t="s">
        <v>665</v>
      </c>
    </row>
    <row r="97" customFormat="false" ht="14.25" hidden="false" customHeight="true" outlineLevel="0" collapsed="false">
      <c r="A97" s="3" t="s">
        <v>763</v>
      </c>
      <c r="B97" s="3" t="s">
        <v>71</v>
      </c>
      <c r="C97" s="3" t="s">
        <v>667</v>
      </c>
      <c r="D97" s="3" t="n">
        <v>0</v>
      </c>
      <c r="E97" s="4" t="n">
        <v>45370</v>
      </c>
      <c r="F97" s="3" t="s">
        <v>668</v>
      </c>
    </row>
    <row r="98" customFormat="false" ht="14.25" hidden="false" customHeight="true" outlineLevel="0" collapsed="false">
      <c r="A98" s="3" t="s">
        <v>764</v>
      </c>
      <c r="B98" s="3" t="s">
        <v>12</v>
      </c>
      <c r="C98" s="3" t="s">
        <v>676</v>
      </c>
      <c r="D98" s="3" t="n">
        <v>7</v>
      </c>
      <c r="E98" s="4" t="n">
        <v>45389</v>
      </c>
      <c r="F98" s="3" t="s">
        <v>662</v>
      </c>
    </row>
    <row r="99" customFormat="false" ht="14.25" hidden="false" customHeight="true" outlineLevel="0" collapsed="false">
      <c r="A99" s="3" t="s">
        <v>765</v>
      </c>
      <c r="B99" s="3" t="s">
        <v>71</v>
      </c>
      <c r="C99" s="3" t="s">
        <v>676</v>
      </c>
      <c r="D99" s="3" t="n">
        <v>0</v>
      </c>
      <c r="E99" s="4" t="n">
        <v>45438</v>
      </c>
      <c r="F99" s="3" t="s">
        <v>665</v>
      </c>
    </row>
    <row r="100" customFormat="false" ht="14.25" hidden="false" customHeight="true" outlineLevel="0" collapsed="false">
      <c r="A100" s="3" t="s">
        <v>766</v>
      </c>
      <c r="B100" s="3" t="s">
        <v>24</v>
      </c>
      <c r="C100" s="3" t="s">
        <v>676</v>
      </c>
      <c r="D100" s="3" t="n">
        <v>0</v>
      </c>
      <c r="E100" s="4" t="n">
        <v>45457</v>
      </c>
      <c r="F100" s="3" t="s">
        <v>665</v>
      </c>
    </row>
    <row r="101" customFormat="false" ht="14.25" hidden="false" customHeight="true" outlineLevel="0" collapsed="false">
      <c r="A101" s="3" t="s">
        <v>767</v>
      </c>
      <c r="B101" s="3" t="s">
        <v>24</v>
      </c>
      <c r="C101" s="3" t="s">
        <v>664</v>
      </c>
      <c r="D101" s="3" t="n">
        <v>7</v>
      </c>
      <c r="E101" s="4" t="n">
        <v>45428</v>
      </c>
      <c r="F101" s="3" t="s">
        <v>662</v>
      </c>
    </row>
    <row r="102" customFormat="false" ht="14.25" hidden="false" customHeight="true" outlineLevel="0" collapsed="false">
      <c r="A102" s="3" t="s">
        <v>768</v>
      </c>
      <c r="B102" s="3" t="s">
        <v>16</v>
      </c>
      <c r="C102" s="3" t="s">
        <v>676</v>
      </c>
      <c r="D102" s="3" t="n">
        <v>9</v>
      </c>
      <c r="E102" s="4" t="n">
        <v>45367</v>
      </c>
      <c r="F102" s="3" t="s">
        <v>662</v>
      </c>
    </row>
    <row r="103" customFormat="false" ht="14.25" hidden="false" customHeight="true" outlineLevel="0" collapsed="false">
      <c r="A103" s="3" t="s">
        <v>769</v>
      </c>
      <c r="B103" s="3" t="s">
        <v>16</v>
      </c>
      <c r="C103" s="3" t="s">
        <v>667</v>
      </c>
      <c r="D103" s="3" t="n">
        <v>6</v>
      </c>
      <c r="E103" s="4" t="n">
        <v>45529</v>
      </c>
      <c r="F103" s="3" t="s">
        <v>677</v>
      </c>
    </row>
    <row r="104" customFormat="false" ht="14.25" hidden="false" customHeight="true" outlineLevel="0" collapsed="false">
      <c r="A104" s="3" t="s">
        <v>770</v>
      </c>
      <c r="B104" s="3" t="s">
        <v>77</v>
      </c>
      <c r="C104" s="3" t="s">
        <v>667</v>
      </c>
      <c r="D104" s="3" t="n">
        <v>0</v>
      </c>
      <c r="E104" s="4" t="n">
        <v>45306</v>
      </c>
      <c r="F104" s="3" t="s">
        <v>668</v>
      </c>
    </row>
    <row r="105" customFormat="false" ht="14.25" hidden="false" customHeight="true" outlineLevel="0" collapsed="false">
      <c r="A105" s="3" t="s">
        <v>771</v>
      </c>
      <c r="B105" s="3" t="s">
        <v>16</v>
      </c>
      <c r="C105" s="3" t="s">
        <v>691</v>
      </c>
      <c r="D105" s="3" t="n">
        <v>0</v>
      </c>
      <c r="E105" s="4" t="n">
        <v>45618</v>
      </c>
      <c r="F105" s="3" t="s">
        <v>668</v>
      </c>
    </row>
    <row r="106" customFormat="false" ht="14.25" hidden="false" customHeight="true" outlineLevel="0" collapsed="false">
      <c r="A106" s="3" t="s">
        <v>772</v>
      </c>
      <c r="B106" s="3" t="s">
        <v>29</v>
      </c>
      <c r="C106" s="3" t="s">
        <v>676</v>
      </c>
      <c r="D106" s="3" t="n">
        <v>8</v>
      </c>
      <c r="E106" s="4" t="n">
        <v>45387</v>
      </c>
      <c r="F106" s="3" t="s">
        <v>662</v>
      </c>
    </row>
    <row r="107" customFormat="false" ht="14.25" hidden="false" customHeight="true" outlineLevel="0" collapsed="false">
      <c r="A107" s="3" t="s">
        <v>773</v>
      </c>
      <c r="B107" s="3" t="s">
        <v>29</v>
      </c>
      <c r="C107" s="3" t="s">
        <v>664</v>
      </c>
      <c r="D107" s="3" t="n">
        <v>2</v>
      </c>
      <c r="E107" s="4" t="n">
        <v>45646</v>
      </c>
      <c r="F107" s="3" t="s">
        <v>662</v>
      </c>
    </row>
    <row r="108" customFormat="false" ht="14.25" hidden="false" customHeight="true" outlineLevel="0" collapsed="false">
      <c r="A108" s="3" t="s">
        <v>774</v>
      </c>
      <c r="B108" s="3" t="s">
        <v>24</v>
      </c>
      <c r="C108" s="3" t="s">
        <v>676</v>
      </c>
      <c r="D108" s="3" t="n">
        <v>5</v>
      </c>
      <c r="E108" s="4" t="n">
        <v>45608</v>
      </c>
      <c r="F108" s="3" t="s">
        <v>662</v>
      </c>
    </row>
    <row r="109" customFormat="false" ht="14.25" hidden="false" customHeight="true" outlineLevel="0" collapsed="false">
      <c r="A109" s="3" t="s">
        <v>775</v>
      </c>
      <c r="B109" s="3" t="s">
        <v>29</v>
      </c>
      <c r="C109" s="3" t="s">
        <v>664</v>
      </c>
      <c r="D109" s="3" t="n">
        <v>3</v>
      </c>
      <c r="E109" s="4" t="n">
        <v>45367</v>
      </c>
      <c r="F109" s="3" t="s">
        <v>662</v>
      </c>
    </row>
    <row r="110" customFormat="false" ht="14.25" hidden="false" customHeight="true" outlineLevel="0" collapsed="false">
      <c r="A110" s="3" t="s">
        <v>776</v>
      </c>
      <c r="B110" s="3" t="s">
        <v>77</v>
      </c>
      <c r="C110" s="3" t="s">
        <v>691</v>
      </c>
      <c r="D110" s="3" t="n">
        <v>0</v>
      </c>
      <c r="E110" s="4" t="n">
        <v>45404</v>
      </c>
      <c r="F110" s="3" t="s">
        <v>668</v>
      </c>
    </row>
    <row r="111" customFormat="false" ht="14.25" hidden="false" customHeight="true" outlineLevel="0" collapsed="false">
      <c r="A111" s="3" t="s">
        <v>777</v>
      </c>
      <c r="B111" s="3" t="s">
        <v>29</v>
      </c>
      <c r="C111" s="3" t="s">
        <v>667</v>
      </c>
      <c r="D111" s="3" t="n">
        <v>6</v>
      </c>
      <c r="E111" s="4" t="n">
        <v>45480</v>
      </c>
      <c r="F111" s="3" t="s">
        <v>677</v>
      </c>
    </row>
    <row r="112" customFormat="false" ht="14.25" hidden="false" customHeight="true" outlineLevel="0" collapsed="false">
      <c r="A112" s="3" t="s">
        <v>778</v>
      </c>
      <c r="B112" s="3" t="s">
        <v>29</v>
      </c>
      <c r="C112" s="3" t="s">
        <v>676</v>
      </c>
      <c r="D112" s="3" t="n">
        <v>6</v>
      </c>
      <c r="E112" s="4" t="n">
        <v>45444</v>
      </c>
      <c r="F112" s="3" t="s">
        <v>662</v>
      </c>
    </row>
    <row r="113" customFormat="false" ht="14.25" hidden="false" customHeight="true" outlineLevel="0" collapsed="false">
      <c r="A113" s="3" t="s">
        <v>779</v>
      </c>
      <c r="B113" s="3" t="s">
        <v>16</v>
      </c>
      <c r="C113" s="3" t="s">
        <v>667</v>
      </c>
      <c r="D113" s="3" t="n">
        <v>0</v>
      </c>
      <c r="E113" s="4" t="n">
        <v>45472</v>
      </c>
      <c r="F113" s="3" t="s">
        <v>668</v>
      </c>
    </row>
    <row r="114" customFormat="false" ht="14.25" hidden="false" customHeight="true" outlineLevel="0" collapsed="false">
      <c r="A114" s="3" t="s">
        <v>780</v>
      </c>
      <c r="B114" s="3" t="s">
        <v>24</v>
      </c>
      <c r="C114" s="3" t="s">
        <v>676</v>
      </c>
      <c r="D114" s="3" t="n">
        <v>4</v>
      </c>
      <c r="E114" s="4" t="n">
        <v>45303</v>
      </c>
      <c r="F114" s="3" t="s">
        <v>662</v>
      </c>
    </row>
    <row r="115" customFormat="false" ht="14.25" hidden="false" customHeight="true" outlineLevel="0" collapsed="false">
      <c r="A115" s="3" t="s">
        <v>781</v>
      </c>
      <c r="B115" s="3" t="s">
        <v>77</v>
      </c>
      <c r="C115" s="3" t="s">
        <v>661</v>
      </c>
      <c r="D115" s="3" t="n">
        <v>0</v>
      </c>
      <c r="E115" s="4" t="n">
        <v>45538</v>
      </c>
      <c r="F115" s="3" t="s">
        <v>665</v>
      </c>
    </row>
    <row r="116" customFormat="false" ht="14.25" hidden="false" customHeight="true" outlineLevel="0" collapsed="false">
      <c r="A116" s="3" t="s">
        <v>782</v>
      </c>
      <c r="B116" s="3" t="s">
        <v>77</v>
      </c>
      <c r="C116" s="3" t="s">
        <v>676</v>
      </c>
      <c r="D116" s="3" t="n">
        <v>1</v>
      </c>
      <c r="E116" s="4" t="n">
        <v>45486</v>
      </c>
      <c r="F116" s="3" t="s">
        <v>662</v>
      </c>
    </row>
    <row r="117" customFormat="false" ht="14.25" hidden="false" customHeight="true" outlineLevel="0" collapsed="false">
      <c r="A117" s="3" t="s">
        <v>783</v>
      </c>
      <c r="B117" s="3" t="s">
        <v>29</v>
      </c>
      <c r="C117" s="3" t="s">
        <v>676</v>
      </c>
      <c r="D117" s="3" t="n">
        <v>5</v>
      </c>
      <c r="E117" s="4" t="n">
        <v>45491</v>
      </c>
      <c r="F117" s="3" t="s">
        <v>662</v>
      </c>
    </row>
    <row r="118" customFormat="false" ht="14.25" hidden="false" customHeight="true" outlineLevel="0" collapsed="false">
      <c r="A118" s="3" t="s">
        <v>784</v>
      </c>
      <c r="B118" s="3" t="s">
        <v>29</v>
      </c>
      <c r="C118" s="3" t="s">
        <v>691</v>
      </c>
      <c r="D118" s="3" t="n">
        <v>5</v>
      </c>
      <c r="E118" s="4" t="n">
        <v>45504</v>
      </c>
      <c r="F118" s="3" t="s">
        <v>677</v>
      </c>
    </row>
    <row r="119" customFormat="false" ht="14.25" hidden="false" customHeight="true" outlineLevel="0" collapsed="false">
      <c r="A119" s="3" t="s">
        <v>785</v>
      </c>
      <c r="B119" s="3" t="s">
        <v>77</v>
      </c>
      <c r="C119" s="3" t="s">
        <v>661</v>
      </c>
      <c r="D119" s="3" t="n">
        <v>4</v>
      </c>
      <c r="E119" s="4" t="n">
        <v>45359</v>
      </c>
      <c r="F119" s="3" t="s">
        <v>662</v>
      </c>
    </row>
    <row r="120" customFormat="false" ht="14.25" hidden="false" customHeight="true" outlineLevel="0" collapsed="false">
      <c r="A120" s="3" t="s">
        <v>786</v>
      </c>
      <c r="B120" s="3" t="s">
        <v>77</v>
      </c>
      <c r="C120" s="3" t="s">
        <v>667</v>
      </c>
      <c r="D120" s="3" t="n">
        <v>6</v>
      </c>
      <c r="E120" s="4" t="n">
        <v>45449</v>
      </c>
      <c r="F120" s="3" t="s">
        <v>677</v>
      </c>
    </row>
    <row r="121" customFormat="false" ht="14.25" hidden="false" customHeight="true" outlineLevel="0" collapsed="false">
      <c r="A121" s="3" t="s">
        <v>787</v>
      </c>
      <c r="B121" s="3" t="s">
        <v>24</v>
      </c>
      <c r="C121" s="3" t="s">
        <v>667</v>
      </c>
      <c r="D121" s="3" t="n">
        <v>2</v>
      </c>
      <c r="E121" s="4" t="n">
        <v>45379</v>
      </c>
      <c r="F121" s="3" t="s">
        <v>662</v>
      </c>
    </row>
    <row r="122" customFormat="false" ht="14.25" hidden="false" customHeight="true" outlineLevel="0" collapsed="false">
      <c r="A122" s="3" t="s">
        <v>788</v>
      </c>
      <c r="B122" s="3" t="s">
        <v>71</v>
      </c>
      <c r="C122" s="3" t="s">
        <v>661</v>
      </c>
      <c r="D122" s="3" t="n">
        <v>7</v>
      </c>
      <c r="E122" s="4" t="n">
        <v>45482</v>
      </c>
      <c r="F122" s="3" t="s">
        <v>662</v>
      </c>
    </row>
    <row r="123" customFormat="false" ht="14.25" hidden="false" customHeight="true" outlineLevel="0" collapsed="false">
      <c r="A123" s="3" t="s">
        <v>789</v>
      </c>
      <c r="B123" s="3" t="s">
        <v>71</v>
      </c>
      <c r="C123" s="3" t="s">
        <v>676</v>
      </c>
      <c r="D123" s="3" t="n">
        <v>3</v>
      </c>
      <c r="E123" s="4" t="n">
        <v>45545</v>
      </c>
      <c r="F123" s="3" t="s">
        <v>662</v>
      </c>
    </row>
    <row r="124" customFormat="false" ht="14.25" hidden="false" customHeight="true" outlineLevel="0" collapsed="false">
      <c r="A124" s="3" t="s">
        <v>790</v>
      </c>
      <c r="B124" s="3" t="s">
        <v>12</v>
      </c>
      <c r="C124" s="3" t="s">
        <v>676</v>
      </c>
      <c r="D124" s="3" t="n">
        <v>0</v>
      </c>
      <c r="E124" s="4" t="n">
        <v>45515</v>
      </c>
      <c r="F124" s="3" t="s">
        <v>665</v>
      </c>
    </row>
    <row r="125" customFormat="false" ht="14.25" hidden="false" customHeight="true" outlineLevel="0" collapsed="false">
      <c r="A125" s="3" t="s">
        <v>791</v>
      </c>
      <c r="B125" s="3" t="s">
        <v>71</v>
      </c>
      <c r="C125" s="3" t="s">
        <v>664</v>
      </c>
      <c r="D125" s="3" t="n">
        <v>8</v>
      </c>
      <c r="E125" s="4" t="n">
        <v>45423</v>
      </c>
      <c r="F125" s="3" t="s">
        <v>662</v>
      </c>
    </row>
    <row r="126" customFormat="false" ht="14.25" hidden="false" customHeight="true" outlineLevel="0" collapsed="false">
      <c r="A126" s="3" t="s">
        <v>792</v>
      </c>
      <c r="B126" s="3" t="s">
        <v>24</v>
      </c>
      <c r="C126" s="3" t="s">
        <v>691</v>
      </c>
      <c r="D126" s="3" t="n">
        <v>4</v>
      </c>
      <c r="E126" s="4" t="n">
        <v>45582</v>
      </c>
      <c r="F126" s="3" t="s">
        <v>677</v>
      </c>
    </row>
    <row r="127" customFormat="false" ht="14.25" hidden="false" customHeight="true" outlineLevel="0" collapsed="false">
      <c r="A127" s="3" t="s">
        <v>9</v>
      </c>
      <c r="B127" s="3" t="s">
        <v>12</v>
      </c>
      <c r="C127" s="3" t="s">
        <v>9</v>
      </c>
      <c r="D127" s="3" t="n">
        <v>2</v>
      </c>
      <c r="E127" s="4" t="s">
        <v>9</v>
      </c>
      <c r="F127" s="3" t="s">
        <v>677</v>
      </c>
    </row>
    <row r="128" customFormat="false" ht="14.25" hidden="false" customHeight="true" outlineLevel="0" collapsed="false">
      <c r="A128" s="3" t="s">
        <v>793</v>
      </c>
      <c r="B128" s="3" t="s">
        <v>29</v>
      </c>
      <c r="C128" s="3" t="s">
        <v>664</v>
      </c>
      <c r="D128" s="3" t="n">
        <v>6</v>
      </c>
      <c r="E128" s="4" t="n">
        <v>45324</v>
      </c>
      <c r="F128" s="3" t="s">
        <v>662</v>
      </c>
    </row>
    <row r="129" customFormat="false" ht="14.25" hidden="false" customHeight="true" outlineLevel="0" collapsed="false">
      <c r="A129" s="3" t="s">
        <v>794</v>
      </c>
      <c r="B129" s="3" t="s">
        <v>12</v>
      </c>
      <c r="C129" s="3" t="s">
        <v>691</v>
      </c>
      <c r="D129" s="3" t="n">
        <v>3</v>
      </c>
      <c r="E129" s="4" t="n">
        <v>45627</v>
      </c>
      <c r="F129" s="3" t="s">
        <v>662</v>
      </c>
    </row>
    <row r="130" customFormat="false" ht="14.25" hidden="false" customHeight="true" outlineLevel="0" collapsed="false">
      <c r="A130" s="3" t="s">
        <v>795</v>
      </c>
      <c r="B130" s="3" t="s">
        <v>16</v>
      </c>
      <c r="C130" s="3" t="s">
        <v>661</v>
      </c>
      <c r="D130" s="3" t="n">
        <v>4</v>
      </c>
      <c r="E130" s="4" t="n">
        <v>45568</v>
      </c>
      <c r="F130" s="3" t="s">
        <v>662</v>
      </c>
    </row>
    <row r="131" customFormat="false" ht="14.25" hidden="false" customHeight="true" outlineLevel="0" collapsed="false">
      <c r="A131" s="3" t="s">
        <v>796</v>
      </c>
      <c r="B131" s="3" t="s">
        <v>24</v>
      </c>
      <c r="C131" s="3" t="s">
        <v>664</v>
      </c>
      <c r="D131" s="3" t="n">
        <v>1</v>
      </c>
      <c r="E131" s="4" t="n">
        <v>45535</v>
      </c>
      <c r="F131" s="3" t="s">
        <v>662</v>
      </c>
    </row>
    <row r="132" customFormat="false" ht="14.25" hidden="false" customHeight="true" outlineLevel="0" collapsed="false">
      <c r="A132" s="3" t="s">
        <v>797</v>
      </c>
      <c r="B132" s="3" t="s">
        <v>16</v>
      </c>
      <c r="C132" s="3" t="s">
        <v>691</v>
      </c>
      <c r="D132" s="3" t="n">
        <v>2</v>
      </c>
      <c r="E132" s="4" t="n">
        <v>45537</v>
      </c>
      <c r="F132" s="3" t="s">
        <v>677</v>
      </c>
    </row>
    <row r="133" customFormat="false" ht="14.25" hidden="false" customHeight="true" outlineLevel="0" collapsed="false">
      <c r="A133" s="3" t="s">
        <v>798</v>
      </c>
      <c r="B133" s="3" t="s">
        <v>77</v>
      </c>
      <c r="C133" s="3" t="s">
        <v>664</v>
      </c>
      <c r="D133" s="3" t="n">
        <v>0</v>
      </c>
      <c r="E133" s="4" t="n">
        <v>45492</v>
      </c>
      <c r="F133" s="3" t="s">
        <v>665</v>
      </c>
    </row>
    <row r="134" customFormat="false" ht="14.25" hidden="false" customHeight="true" outlineLevel="0" collapsed="false">
      <c r="A134" s="3" t="s">
        <v>799</v>
      </c>
      <c r="B134" s="3" t="s">
        <v>24</v>
      </c>
      <c r="C134" s="3" t="s">
        <v>676</v>
      </c>
      <c r="D134" s="3" t="n">
        <v>6</v>
      </c>
      <c r="E134" s="4" t="n">
        <v>45558</v>
      </c>
      <c r="F134" s="3" t="s">
        <v>662</v>
      </c>
    </row>
    <row r="135" customFormat="false" ht="14.25" hidden="false" customHeight="true" outlineLevel="0" collapsed="false">
      <c r="A135" s="3" t="s">
        <v>800</v>
      </c>
      <c r="B135" s="3" t="s">
        <v>77</v>
      </c>
      <c r="C135" s="3" t="s">
        <v>676</v>
      </c>
      <c r="D135" s="3" t="n">
        <v>4</v>
      </c>
      <c r="E135" s="4" t="n">
        <v>45502</v>
      </c>
      <c r="F135" s="3" t="s">
        <v>662</v>
      </c>
    </row>
    <row r="136" customFormat="false" ht="14.25" hidden="false" customHeight="true" outlineLevel="0" collapsed="false">
      <c r="A136" s="3" t="s">
        <v>801</v>
      </c>
      <c r="B136" s="3" t="s">
        <v>71</v>
      </c>
      <c r="C136" s="3" t="s">
        <v>661</v>
      </c>
      <c r="D136" s="3" t="n">
        <v>3</v>
      </c>
      <c r="E136" s="4" t="n">
        <v>45367</v>
      </c>
      <c r="F136" s="3" t="s">
        <v>662</v>
      </c>
    </row>
    <row r="137" customFormat="false" ht="14.25" hidden="false" customHeight="true" outlineLevel="0" collapsed="false">
      <c r="A137" s="3" t="s">
        <v>802</v>
      </c>
      <c r="B137" s="3" t="s">
        <v>12</v>
      </c>
      <c r="C137" s="3" t="s">
        <v>667</v>
      </c>
      <c r="D137" s="3" t="n">
        <v>8</v>
      </c>
      <c r="E137" s="4" t="n">
        <v>45634</v>
      </c>
      <c r="F137" s="3" t="s">
        <v>677</v>
      </c>
    </row>
    <row r="138" customFormat="false" ht="14.25" hidden="false" customHeight="true" outlineLevel="0" collapsed="false">
      <c r="A138" s="3" t="s">
        <v>803</v>
      </c>
      <c r="B138" s="3" t="s">
        <v>77</v>
      </c>
      <c r="C138" s="3" t="s">
        <v>676</v>
      </c>
      <c r="D138" s="3" t="n">
        <v>8</v>
      </c>
      <c r="E138" s="4" t="n">
        <v>45465</v>
      </c>
      <c r="F138" s="3" t="s">
        <v>662</v>
      </c>
    </row>
    <row r="139" customFormat="false" ht="14.25" hidden="false" customHeight="true" outlineLevel="0" collapsed="false">
      <c r="A139" s="3" t="s">
        <v>804</v>
      </c>
      <c r="B139" s="3" t="s">
        <v>24</v>
      </c>
      <c r="C139" s="3" t="s">
        <v>676</v>
      </c>
      <c r="D139" s="3" t="n">
        <v>0</v>
      </c>
      <c r="E139" s="4" t="n">
        <v>45443</v>
      </c>
      <c r="F139" s="3" t="s">
        <v>665</v>
      </c>
    </row>
    <row r="140" customFormat="false" ht="14.25" hidden="false" customHeight="true" outlineLevel="0" collapsed="false">
      <c r="A140" s="3" t="s">
        <v>805</v>
      </c>
      <c r="B140" s="3" t="s">
        <v>71</v>
      </c>
      <c r="C140" s="3" t="s">
        <v>664</v>
      </c>
      <c r="D140" s="3" t="n">
        <v>7</v>
      </c>
      <c r="E140" s="4" t="n">
        <v>45443</v>
      </c>
      <c r="F140" s="3" t="s">
        <v>662</v>
      </c>
    </row>
    <row r="141" customFormat="false" ht="14.25" hidden="false" customHeight="true" outlineLevel="0" collapsed="false">
      <c r="A141" s="3" t="s">
        <v>806</v>
      </c>
      <c r="B141" s="3" t="s">
        <v>24</v>
      </c>
      <c r="C141" s="3" t="s">
        <v>667</v>
      </c>
      <c r="D141" s="3" t="n">
        <v>9</v>
      </c>
      <c r="E141" s="4" t="n">
        <v>45318</v>
      </c>
      <c r="F141" s="3" t="s">
        <v>662</v>
      </c>
    </row>
    <row r="142" customFormat="false" ht="14.25" hidden="false" customHeight="true" outlineLevel="0" collapsed="false">
      <c r="A142" s="3" t="s">
        <v>807</v>
      </c>
      <c r="B142" s="3" t="s">
        <v>16</v>
      </c>
      <c r="C142" s="3" t="s">
        <v>667</v>
      </c>
      <c r="D142" s="3" t="n">
        <v>0</v>
      </c>
      <c r="E142" s="4" t="n">
        <v>45439</v>
      </c>
      <c r="F142" s="3" t="s">
        <v>668</v>
      </c>
    </row>
    <row r="143" customFormat="false" ht="14.25" hidden="false" customHeight="true" outlineLevel="0" collapsed="false">
      <c r="A143" s="3" t="s">
        <v>808</v>
      </c>
      <c r="B143" s="3" t="s">
        <v>77</v>
      </c>
      <c r="C143" s="3" t="s">
        <v>661</v>
      </c>
      <c r="D143" s="3" t="n">
        <v>2</v>
      </c>
      <c r="E143" s="4" t="n">
        <v>45305</v>
      </c>
      <c r="F143" s="3" t="s">
        <v>662</v>
      </c>
    </row>
    <row r="144" customFormat="false" ht="14.25" hidden="false" customHeight="true" outlineLevel="0" collapsed="false">
      <c r="A144" s="3" t="s">
        <v>809</v>
      </c>
      <c r="B144" s="3" t="s">
        <v>29</v>
      </c>
      <c r="C144" s="3" t="s">
        <v>664</v>
      </c>
      <c r="D144" s="3" t="n">
        <v>8</v>
      </c>
      <c r="E144" s="4" t="n">
        <v>45574</v>
      </c>
      <c r="F144" s="3" t="s">
        <v>662</v>
      </c>
    </row>
    <row r="145" customFormat="false" ht="14.25" hidden="false" customHeight="true" outlineLevel="0" collapsed="false">
      <c r="A145" s="3" t="s">
        <v>810</v>
      </c>
      <c r="B145" s="3" t="s">
        <v>71</v>
      </c>
      <c r="C145" s="3" t="s">
        <v>661</v>
      </c>
      <c r="D145" s="3" t="n">
        <v>3</v>
      </c>
      <c r="E145" s="4" t="n">
        <v>45406</v>
      </c>
      <c r="F145" s="3" t="s">
        <v>662</v>
      </c>
    </row>
    <row r="146" customFormat="false" ht="14.25" hidden="false" customHeight="true" outlineLevel="0" collapsed="false">
      <c r="A146" s="3" t="s">
        <v>811</v>
      </c>
      <c r="B146" s="3" t="s">
        <v>12</v>
      </c>
      <c r="C146" s="3" t="s">
        <v>691</v>
      </c>
      <c r="D146" s="3" t="n">
        <v>3</v>
      </c>
      <c r="E146" s="4" t="n">
        <v>45519</v>
      </c>
      <c r="F146" s="3" t="s">
        <v>662</v>
      </c>
    </row>
    <row r="147" customFormat="false" ht="14.25" hidden="false" customHeight="true" outlineLevel="0" collapsed="false">
      <c r="A147" s="3" t="s">
        <v>812</v>
      </c>
      <c r="B147" s="3" t="s">
        <v>71</v>
      </c>
      <c r="C147" s="3" t="s">
        <v>676</v>
      </c>
      <c r="D147" s="3" t="n">
        <v>5</v>
      </c>
      <c r="E147" s="4" t="n">
        <v>45373</v>
      </c>
      <c r="F147" s="3" t="s">
        <v>662</v>
      </c>
    </row>
    <row r="148" customFormat="false" ht="14.25" hidden="false" customHeight="true" outlineLevel="0" collapsed="false">
      <c r="A148" s="3" t="s">
        <v>813</v>
      </c>
      <c r="B148" s="3" t="s">
        <v>71</v>
      </c>
      <c r="C148" s="3" t="s">
        <v>667</v>
      </c>
      <c r="D148" s="3" t="n">
        <v>3</v>
      </c>
      <c r="E148" s="4" t="n">
        <v>45613</v>
      </c>
      <c r="F148" s="3" t="s">
        <v>662</v>
      </c>
    </row>
    <row r="149" customFormat="false" ht="14.25" hidden="false" customHeight="true" outlineLevel="0" collapsed="false">
      <c r="A149" s="3" t="s">
        <v>814</v>
      </c>
      <c r="B149" s="3" t="s">
        <v>16</v>
      </c>
      <c r="C149" s="3" t="s">
        <v>691</v>
      </c>
      <c r="D149" s="3" t="n">
        <v>2</v>
      </c>
      <c r="E149" s="4" t="n">
        <v>45335</v>
      </c>
      <c r="F149" s="3" t="s">
        <v>662</v>
      </c>
    </row>
    <row r="150" customFormat="false" ht="14.25" hidden="false" customHeight="true" outlineLevel="0" collapsed="false">
      <c r="A150" s="3" t="s">
        <v>815</v>
      </c>
      <c r="B150" s="3" t="s">
        <v>71</v>
      </c>
      <c r="C150" s="3" t="s">
        <v>667</v>
      </c>
      <c r="D150" s="3" t="n">
        <v>7</v>
      </c>
      <c r="E150" s="4" t="n">
        <v>45448</v>
      </c>
      <c r="F150" s="3" t="s">
        <v>662</v>
      </c>
    </row>
    <row r="151" customFormat="false" ht="14.25" hidden="false" customHeight="true" outlineLevel="0" collapsed="false">
      <c r="A151" s="3" t="s">
        <v>816</v>
      </c>
      <c r="B151" s="3" t="s">
        <v>29</v>
      </c>
      <c r="C151" s="3" t="s">
        <v>667</v>
      </c>
      <c r="D151" s="3" t="n">
        <v>4</v>
      </c>
      <c r="E151" s="4" t="n">
        <v>45616</v>
      </c>
      <c r="F151" s="3" t="s">
        <v>677</v>
      </c>
    </row>
    <row r="152" customFormat="false" ht="14.25" hidden="false" customHeight="true" outlineLevel="0" collapsed="false">
      <c r="A152" s="3" t="s">
        <v>817</v>
      </c>
      <c r="B152" s="3" t="s">
        <v>29</v>
      </c>
      <c r="C152" s="3" t="s">
        <v>676</v>
      </c>
      <c r="D152" s="3" t="n">
        <v>5</v>
      </c>
      <c r="E152" s="4" t="n">
        <v>45594</v>
      </c>
      <c r="F152" s="3" t="s">
        <v>662</v>
      </c>
    </row>
    <row r="153" customFormat="false" ht="14.25" hidden="false" customHeight="true" outlineLevel="0" collapsed="false">
      <c r="A153" s="3" t="s">
        <v>818</v>
      </c>
      <c r="B153" s="3" t="s">
        <v>77</v>
      </c>
      <c r="C153" s="3" t="s">
        <v>667</v>
      </c>
      <c r="D153" s="3" t="n">
        <v>0</v>
      </c>
      <c r="E153" s="4" t="n">
        <v>45619</v>
      </c>
      <c r="F153" s="3" t="s">
        <v>668</v>
      </c>
    </row>
    <row r="154" customFormat="false" ht="14.25" hidden="false" customHeight="true" outlineLevel="0" collapsed="false">
      <c r="A154" s="3" t="s">
        <v>819</v>
      </c>
      <c r="B154" s="3" t="s">
        <v>24</v>
      </c>
      <c r="C154" s="3" t="s">
        <v>664</v>
      </c>
      <c r="D154" s="3" t="n">
        <v>3</v>
      </c>
      <c r="E154" s="4" t="n">
        <v>45348</v>
      </c>
      <c r="F154" s="3" t="s">
        <v>662</v>
      </c>
    </row>
    <row r="155" customFormat="false" ht="14.25" hidden="false" customHeight="true" outlineLevel="0" collapsed="false">
      <c r="A155" s="3" t="s">
        <v>820</v>
      </c>
      <c r="B155" s="3" t="s">
        <v>24</v>
      </c>
      <c r="C155" s="3" t="s">
        <v>691</v>
      </c>
      <c r="D155" s="3" t="n">
        <v>0</v>
      </c>
      <c r="E155" s="4" t="n">
        <v>45504</v>
      </c>
      <c r="F155" s="3" t="s">
        <v>668</v>
      </c>
    </row>
    <row r="156" customFormat="false" ht="14.25" hidden="false" customHeight="true" outlineLevel="0" collapsed="false">
      <c r="A156" s="3" t="s">
        <v>821</v>
      </c>
      <c r="B156" s="3" t="s">
        <v>29</v>
      </c>
      <c r="C156" s="3" t="s">
        <v>664</v>
      </c>
      <c r="D156" s="3" t="n">
        <v>0</v>
      </c>
      <c r="E156" s="4" t="n">
        <v>45558</v>
      </c>
      <c r="F156" s="3" t="s">
        <v>665</v>
      </c>
    </row>
    <row r="157" customFormat="false" ht="14.25" hidden="false" customHeight="true" outlineLevel="0" collapsed="false">
      <c r="A157" s="3" t="s">
        <v>822</v>
      </c>
      <c r="B157" s="3" t="s">
        <v>29</v>
      </c>
      <c r="C157" s="3" t="s">
        <v>661</v>
      </c>
      <c r="D157" s="3" t="n">
        <v>5</v>
      </c>
      <c r="E157" s="4" t="n">
        <v>45325</v>
      </c>
      <c r="F157" s="3" t="s">
        <v>677</v>
      </c>
    </row>
    <row r="158" customFormat="false" ht="14.25" hidden="false" customHeight="true" outlineLevel="0" collapsed="false">
      <c r="A158" s="3" t="s">
        <v>823</v>
      </c>
      <c r="B158" s="3" t="s">
        <v>16</v>
      </c>
      <c r="C158" s="3" t="s">
        <v>691</v>
      </c>
      <c r="D158" s="3" t="n">
        <v>0</v>
      </c>
      <c r="E158" s="4" t="n">
        <v>45387</v>
      </c>
      <c r="F158" s="3" t="s">
        <v>668</v>
      </c>
    </row>
    <row r="159" customFormat="false" ht="14.25" hidden="false" customHeight="true" outlineLevel="0" collapsed="false">
      <c r="A159" s="3" t="s">
        <v>824</v>
      </c>
      <c r="B159" s="3" t="s">
        <v>77</v>
      </c>
      <c r="C159" s="3" t="s">
        <v>676</v>
      </c>
      <c r="D159" s="3" t="n">
        <v>4</v>
      </c>
      <c r="E159" s="4" t="n">
        <v>45341</v>
      </c>
      <c r="F159" s="3" t="s">
        <v>662</v>
      </c>
    </row>
    <row r="160" customFormat="false" ht="14.25" hidden="false" customHeight="true" outlineLevel="0" collapsed="false">
      <c r="A160" s="3" t="s">
        <v>825</v>
      </c>
      <c r="B160" s="3" t="s">
        <v>77</v>
      </c>
      <c r="C160" s="3" t="s">
        <v>676</v>
      </c>
      <c r="D160" s="3" t="n">
        <v>2</v>
      </c>
      <c r="E160" s="4" t="n">
        <v>45565</v>
      </c>
      <c r="F160" s="3" t="s">
        <v>662</v>
      </c>
    </row>
    <row r="161" customFormat="false" ht="14.25" hidden="false" customHeight="true" outlineLevel="0" collapsed="false">
      <c r="A161" s="3" t="s">
        <v>826</v>
      </c>
      <c r="B161" s="3" t="s">
        <v>29</v>
      </c>
      <c r="C161" s="3" t="s">
        <v>664</v>
      </c>
      <c r="D161" s="3" t="n">
        <v>6</v>
      </c>
      <c r="E161" s="4" t="n">
        <v>45481</v>
      </c>
      <c r="F161" s="3" t="s">
        <v>662</v>
      </c>
    </row>
    <row r="162" customFormat="false" ht="14.25" hidden="false" customHeight="true" outlineLevel="0" collapsed="false">
      <c r="A162" s="3" t="s">
        <v>827</v>
      </c>
      <c r="B162" s="3" t="s">
        <v>71</v>
      </c>
      <c r="C162" s="3" t="s">
        <v>676</v>
      </c>
      <c r="D162" s="3" t="n">
        <v>1</v>
      </c>
      <c r="E162" s="4" t="n">
        <v>45619</v>
      </c>
      <c r="F162" s="3" t="s">
        <v>662</v>
      </c>
    </row>
    <row r="163" customFormat="false" ht="14.25" hidden="false" customHeight="true" outlineLevel="0" collapsed="false">
      <c r="A163" s="3" t="s">
        <v>828</v>
      </c>
      <c r="B163" s="3" t="s">
        <v>77</v>
      </c>
      <c r="C163" s="3" t="s">
        <v>691</v>
      </c>
      <c r="D163" s="3" t="n">
        <v>9</v>
      </c>
      <c r="E163" s="4" t="n">
        <v>45301</v>
      </c>
      <c r="F163" s="3" t="s">
        <v>662</v>
      </c>
    </row>
    <row r="164" customFormat="false" ht="14.25" hidden="false" customHeight="true" outlineLevel="0" collapsed="false">
      <c r="A164" s="3" t="s">
        <v>829</v>
      </c>
      <c r="B164" s="3" t="s">
        <v>71</v>
      </c>
      <c r="C164" s="3" t="s">
        <v>691</v>
      </c>
      <c r="D164" s="3" t="n">
        <v>1</v>
      </c>
      <c r="E164" s="4" t="n">
        <v>45474</v>
      </c>
      <c r="F164" s="3" t="s">
        <v>677</v>
      </c>
    </row>
    <row r="165" customFormat="false" ht="14.25" hidden="false" customHeight="true" outlineLevel="0" collapsed="false">
      <c r="A165" s="3" t="s">
        <v>830</v>
      </c>
      <c r="B165" s="3" t="s">
        <v>71</v>
      </c>
      <c r="C165" s="3" t="s">
        <v>667</v>
      </c>
      <c r="D165" s="3" t="n">
        <v>0</v>
      </c>
      <c r="E165" s="4" t="n">
        <v>45337</v>
      </c>
      <c r="F165" s="3" t="s">
        <v>668</v>
      </c>
    </row>
    <row r="166" customFormat="false" ht="14.25" hidden="false" customHeight="true" outlineLevel="0" collapsed="false">
      <c r="A166" s="3" t="s">
        <v>831</v>
      </c>
      <c r="B166" s="3" t="s">
        <v>71</v>
      </c>
      <c r="C166" s="3" t="s">
        <v>676</v>
      </c>
      <c r="D166" s="3" t="n">
        <v>9</v>
      </c>
      <c r="E166" s="4" t="n">
        <v>45405</v>
      </c>
      <c r="F166" s="3" t="s">
        <v>662</v>
      </c>
    </row>
    <row r="167" customFormat="false" ht="14.25" hidden="false" customHeight="true" outlineLevel="0" collapsed="false">
      <c r="A167" s="3" t="s">
        <v>832</v>
      </c>
      <c r="B167" s="3" t="s">
        <v>24</v>
      </c>
      <c r="C167" s="3" t="s">
        <v>661</v>
      </c>
      <c r="D167" s="3" t="n">
        <v>2</v>
      </c>
      <c r="E167" s="4" t="n">
        <v>45434</v>
      </c>
      <c r="F167" s="3" t="s">
        <v>662</v>
      </c>
    </row>
    <row r="168" customFormat="false" ht="14.25" hidden="false" customHeight="true" outlineLevel="0" collapsed="false">
      <c r="A168" s="3" t="s">
        <v>833</v>
      </c>
      <c r="B168" s="3" t="s">
        <v>77</v>
      </c>
      <c r="C168" s="3" t="s">
        <v>661</v>
      </c>
      <c r="D168" s="3" t="n">
        <v>5</v>
      </c>
      <c r="E168" s="4" t="n">
        <v>45474</v>
      </c>
      <c r="F168" s="3" t="s">
        <v>662</v>
      </c>
    </row>
    <row r="169" customFormat="false" ht="14.25" hidden="false" customHeight="true" outlineLevel="0" collapsed="false">
      <c r="A169" s="3" t="s">
        <v>834</v>
      </c>
      <c r="B169" s="3" t="s">
        <v>77</v>
      </c>
      <c r="C169" s="3" t="s">
        <v>661</v>
      </c>
      <c r="D169" s="3" t="n">
        <v>5</v>
      </c>
      <c r="E169" s="4" t="n">
        <v>45501</v>
      </c>
      <c r="F169" s="3" t="s">
        <v>662</v>
      </c>
    </row>
    <row r="170" customFormat="false" ht="14.25" hidden="false" customHeight="true" outlineLevel="0" collapsed="false">
      <c r="A170" s="3" t="s">
        <v>835</v>
      </c>
      <c r="B170" s="3" t="s">
        <v>16</v>
      </c>
      <c r="C170" s="3" t="s">
        <v>661</v>
      </c>
      <c r="D170" s="3" t="n">
        <v>4</v>
      </c>
      <c r="E170" s="4" t="n">
        <v>45613</v>
      </c>
      <c r="F170" s="3" t="s">
        <v>662</v>
      </c>
    </row>
    <row r="171" customFormat="false" ht="14.25" hidden="false" customHeight="true" outlineLevel="0" collapsed="false">
      <c r="A171" s="3" t="s">
        <v>836</v>
      </c>
      <c r="B171" s="3" t="s">
        <v>29</v>
      </c>
      <c r="C171" s="3" t="s">
        <v>676</v>
      </c>
      <c r="D171" s="3" t="n">
        <v>4</v>
      </c>
      <c r="E171" s="4" t="n">
        <v>45368</v>
      </c>
      <c r="F171" s="3" t="s">
        <v>662</v>
      </c>
    </row>
    <row r="172" customFormat="false" ht="14.25" hidden="false" customHeight="true" outlineLevel="0" collapsed="false">
      <c r="A172" s="3" t="s">
        <v>837</v>
      </c>
      <c r="B172" s="3" t="s">
        <v>29</v>
      </c>
      <c r="C172" s="3" t="s">
        <v>661</v>
      </c>
      <c r="D172" s="3" t="n">
        <v>1</v>
      </c>
      <c r="E172" s="4" t="n">
        <v>45354</v>
      </c>
      <c r="F172" s="3" t="s">
        <v>662</v>
      </c>
    </row>
    <row r="173" customFormat="false" ht="14.25" hidden="false" customHeight="true" outlineLevel="0" collapsed="false">
      <c r="A173" s="3" t="s">
        <v>838</v>
      </c>
      <c r="B173" s="3" t="s">
        <v>29</v>
      </c>
      <c r="C173" s="3" t="s">
        <v>664</v>
      </c>
      <c r="D173" s="3" t="n">
        <v>6</v>
      </c>
      <c r="E173" s="4" t="n">
        <v>45421</v>
      </c>
      <c r="F173" s="3" t="s">
        <v>662</v>
      </c>
    </row>
    <row r="174" customFormat="false" ht="14.25" hidden="false" customHeight="true" outlineLevel="0" collapsed="false">
      <c r="A174" s="3" t="s">
        <v>839</v>
      </c>
      <c r="B174" s="3" t="s">
        <v>77</v>
      </c>
      <c r="C174" s="3" t="s">
        <v>691</v>
      </c>
      <c r="D174" s="3" t="n">
        <v>0</v>
      </c>
      <c r="E174" s="4" t="n">
        <v>45437</v>
      </c>
      <c r="F174" s="3" t="s">
        <v>668</v>
      </c>
    </row>
    <row r="175" customFormat="false" ht="14.25" hidden="false" customHeight="true" outlineLevel="0" collapsed="false">
      <c r="A175" s="3" t="s">
        <v>840</v>
      </c>
      <c r="B175" s="3" t="s">
        <v>71</v>
      </c>
      <c r="C175" s="3" t="s">
        <v>661</v>
      </c>
      <c r="D175" s="3" t="n">
        <v>6</v>
      </c>
      <c r="E175" s="4" t="n">
        <v>45598</v>
      </c>
      <c r="F175" s="3" t="s">
        <v>662</v>
      </c>
    </row>
    <row r="176" customFormat="false" ht="14.25" hidden="false" customHeight="true" outlineLevel="0" collapsed="false">
      <c r="A176" s="3" t="s">
        <v>841</v>
      </c>
      <c r="B176" s="3" t="s">
        <v>77</v>
      </c>
      <c r="C176" s="3" t="s">
        <v>661</v>
      </c>
      <c r="D176" s="3" t="n">
        <v>9</v>
      </c>
      <c r="E176" s="4" t="n">
        <v>45446</v>
      </c>
      <c r="F176" s="3" t="s">
        <v>662</v>
      </c>
    </row>
    <row r="177" customFormat="false" ht="14.25" hidden="false" customHeight="true" outlineLevel="0" collapsed="false">
      <c r="A177" s="3" t="s">
        <v>842</v>
      </c>
      <c r="B177" s="3" t="s">
        <v>29</v>
      </c>
      <c r="C177" s="3" t="s">
        <v>664</v>
      </c>
      <c r="D177" s="3" t="n">
        <v>0</v>
      </c>
      <c r="E177" s="4" t="n">
        <v>45343</v>
      </c>
      <c r="F177" s="3" t="s">
        <v>665</v>
      </c>
    </row>
    <row r="178" customFormat="false" ht="14.25" hidden="false" customHeight="true" outlineLevel="0" collapsed="false">
      <c r="A178" s="3" t="s">
        <v>843</v>
      </c>
      <c r="B178" s="3" t="s">
        <v>29</v>
      </c>
      <c r="C178" s="3" t="s">
        <v>661</v>
      </c>
      <c r="D178" s="3" t="n">
        <v>0</v>
      </c>
      <c r="E178" s="4" t="n">
        <v>45595</v>
      </c>
      <c r="F178" s="3" t="s">
        <v>665</v>
      </c>
    </row>
    <row r="179" customFormat="false" ht="14.25" hidden="false" customHeight="true" outlineLevel="0" collapsed="false">
      <c r="A179" s="3" t="s">
        <v>844</v>
      </c>
      <c r="B179" s="3" t="s">
        <v>16</v>
      </c>
      <c r="C179" s="3" t="s">
        <v>664</v>
      </c>
      <c r="D179" s="3" t="n">
        <v>9</v>
      </c>
      <c r="E179" s="4" t="n">
        <v>45358</v>
      </c>
      <c r="F179" s="3" t="s">
        <v>662</v>
      </c>
    </row>
    <row r="180" customFormat="false" ht="14.25" hidden="false" customHeight="true" outlineLevel="0" collapsed="false">
      <c r="A180" s="3" t="s">
        <v>845</v>
      </c>
      <c r="B180" s="3" t="s">
        <v>16</v>
      </c>
      <c r="C180" s="3" t="s">
        <v>664</v>
      </c>
      <c r="D180" s="3" t="n">
        <v>8</v>
      </c>
      <c r="E180" s="4" t="n">
        <v>45349</v>
      </c>
      <c r="F180" s="3" t="s">
        <v>662</v>
      </c>
    </row>
    <row r="181" customFormat="false" ht="14.25" hidden="false" customHeight="true" outlineLevel="0" collapsed="false">
      <c r="A181" s="3" t="s">
        <v>846</v>
      </c>
      <c r="B181" s="3" t="s">
        <v>24</v>
      </c>
      <c r="C181" s="3" t="s">
        <v>661</v>
      </c>
      <c r="D181" s="3" t="n">
        <v>0</v>
      </c>
      <c r="E181" s="4" t="n">
        <v>45507</v>
      </c>
      <c r="F181" s="3" t="s">
        <v>665</v>
      </c>
    </row>
    <row r="182" customFormat="false" ht="14.25" hidden="false" customHeight="true" outlineLevel="0" collapsed="false">
      <c r="A182" s="3" t="s">
        <v>847</v>
      </c>
      <c r="B182" s="3" t="s">
        <v>71</v>
      </c>
      <c r="C182" s="3" t="s">
        <v>691</v>
      </c>
      <c r="D182" s="3" t="n">
        <v>0</v>
      </c>
      <c r="E182" s="4" t="n">
        <v>45483</v>
      </c>
      <c r="F182" s="3" t="s">
        <v>668</v>
      </c>
    </row>
    <row r="183" customFormat="false" ht="14.25" hidden="false" customHeight="true" outlineLevel="0" collapsed="false">
      <c r="A183" s="3" t="s">
        <v>848</v>
      </c>
      <c r="B183" s="3" t="s">
        <v>71</v>
      </c>
      <c r="C183" s="3" t="s">
        <v>664</v>
      </c>
      <c r="D183" s="3" t="n">
        <v>4</v>
      </c>
      <c r="E183" s="4" t="n">
        <v>45472</v>
      </c>
      <c r="F183" s="3" t="s">
        <v>662</v>
      </c>
    </row>
    <row r="184" customFormat="false" ht="14.25" hidden="false" customHeight="true" outlineLevel="0" collapsed="false">
      <c r="A184" s="3" t="s">
        <v>849</v>
      </c>
      <c r="B184" s="3" t="s">
        <v>16</v>
      </c>
      <c r="C184" s="3" t="s">
        <v>664</v>
      </c>
      <c r="D184" s="3" t="n">
        <v>8</v>
      </c>
      <c r="E184" s="4" t="n">
        <v>45388</v>
      </c>
      <c r="F184" s="3" t="s">
        <v>662</v>
      </c>
    </row>
    <row r="185" customFormat="false" ht="14.25" hidden="false" customHeight="true" outlineLevel="0" collapsed="false">
      <c r="A185" s="3" t="s">
        <v>850</v>
      </c>
      <c r="B185" s="3" t="s">
        <v>29</v>
      </c>
      <c r="C185" s="3" t="s">
        <v>676</v>
      </c>
      <c r="D185" s="3" t="n">
        <v>6</v>
      </c>
      <c r="E185" s="4" t="n">
        <v>45390</v>
      </c>
      <c r="F185" s="3" t="s">
        <v>662</v>
      </c>
    </row>
    <row r="186" customFormat="false" ht="14.25" hidden="false" customHeight="true" outlineLevel="0" collapsed="false">
      <c r="A186" s="3" t="s">
        <v>851</v>
      </c>
      <c r="B186" s="3" t="s">
        <v>71</v>
      </c>
      <c r="C186" s="3" t="s">
        <v>667</v>
      </c>
      <c r="D186" s="3" t="n">
        <v>3</v>
      </c>
      <c r="E186" s="4" t="n">
        <v>45294</v>
      </c>
      <c r="F186" s="3" t="s">
        <v>677</v>
      </c>
    </row>
    <row r="187" customFormat="false" ht="14.25" hidden="false" customHeight="true" outlineLevel="0" collapsed="false">
      <c r="A187" s="3" t="s">
        <v>852</v>
      </c>
      <c r="B187" s="3" t="s">
        <v>24</v>
      </c>
      <c r="C187" s="3" t="s">
        <v>691</v>
      </c>
      <c r="D187" s="3" t="n">
        <v>9</v>
      </c>
      <c r="E187" s="4" t="n">
        <v>45573</v>
      </c>
      <c r="F187" s="3" t="s">
        <v>662</v>
      </c>
    </row>
    <row r="188" customFormat="false" ht="14.25" hidden="false" customHeight="true" outlineLevel="0" collapsed="false">
      <c r="A188" s="3" t="s">
        <v>853</v>
      </c>
      <c r="B188" s="3" t="s">
        <v>29</v>
      </c>
      <c r="C188" s="3" t="s">
        <v>667</v>
      </c>
      <c r="D188" s="3" t="n">
        <v>9</v>
      </c>
      <c r="E188" s="4" t="n">
        <v>45480</v>
      </c>
      <c r="F188" s="3" t="s">
        <v>662</v>
      </c>
    </row>
    <row r="189" customFormat="false" ht="14.25" hidden="false" customHeight="true" outlineLevel="0" collapsed="false">
      <c r="A189" s="3" t="s">
        <v>854</v>
      </c>
      <c r="B189" s="3" t="s">
        <v>29</v>
      </c>
      <c r="C189" s="3" t="s">
        <v>676</v>
      </c>
      <c r="D189" s="3" t="n">
        <v>0</v>
      </c>
      <c r="E189" s="4" t="n">
        <v>45543</v>
      </c>
      <c r="F189" s="3" t="s">
        <v>665</v>
      </c>
    </row>
    <row r="190" customFormat="false" ht="14.25" hidden="false" customHeight="true" outlineLevel="0" collapsed="false">
      <c r="A190" s="3" t="s">
        <v>855</v>
      </c>
      <c r="B190" s="3" t="s">
        <v>16</v>
      </c>
      <c r="C190" s="3" t="s">
        <v>676</v>
      </c>
      <c r="D190" s="3" t="n">
        <v>0</v>
      </c>
      <c r="E190" s="4" t="n">
        <v>45319</v>
      </c>
      <c r="F190" s="3" t="s">
        <v>665</v>
      </c>
    </row>
    <row r="191" customFormat="false" ht="14.25" hidden="false" customHeight="true" outlineLevel="0" collapsed="false">
      <c r="A191" s="3" t="s">
        <v>856</v>
      </c>
      <c r="B191" s="3" t="s">
        <v>77</v>
      </c>
      <c r="C191" s="3" t="s">
        <v>661</v>
      </c>
      <c r="D191" s="3" t="n">
        <v>5</v>
      </c>
      <c r="E191" s="4" t="n">
        <v>45427</v>
      </c>
      <c r="F191" s="3" t="s">
        <v>662</v>
      </c>
    </row>
    <row r="192" customFormat="false" ht="14.25" hidden="false" customHeight="true" outlineLevel="0" collapsed="false">
      <c r="A192" s="3" t="s">
        <v>857</v>
      </c>
      <c r="B192" s="3" t="s">
        <v>29</v>
      </c>
      <c r="C192" s="3" t="s">
        <v>661</v>
      </c>
      <c r="D192" s="3" t="n">
        <v>0</v>
      </c>
      <c r="E192" s="4" t="n">
        <v>45455</v>
      </c>
      <c r="F192" s="3" t="s">
        <v>665</v>
      </c>
    </row>
    <row r="193" customFormat="false" ht="14.25" hidden="false" customHeight="true" outlineLevel="0" collapsed="false">
      <c r="A193" s="3" t="s">
        <v>858</v>
      </c>
      <c r="B193" s="3" t="s">
        <v>29</v>
      </c>
      <c r="C193" s="3" t="s">
        <v>676</v>
      </c>
      <c r="D193" s="3" t="n">
        <v>6</v>
      </c>
      <c r="E193" s="4" t="n">
        <v>45364</v>
      </c>
      <c r="F193" s="3" t="s">
        <v>662</v>
      </c>
    </row>
    <row r="194" customFormat="false" ht="14.25" hidden="false" customHeight="true" outlineLevel="0" collapsed="false">
      <c r="A194" s="3" t="s">
        <v>859</v>
      </c>
      <c r="B194" s="3" t="s">
        <v>29</v>
      </c>
      <c r="C194" s="3" t="s">
        <v>661</v>
      </c>
      <c r="D194" s="3" t="n">
        <v>0</v>
      </c>
      <c r="E194" s="4" t="n">
        <v>45435</v>
      </c>
      <c r="F194" s="3" t="s">
        <v>665</v>
      </c>
    </row>
    <row r="195" customFormat="false" ht="14.25" hidden="false" customHeight="true" outlineLevel="0" collapsed="false">
      <c r="A195" s="3" t="s">
        <v>860</v>
      </c>
      <c r="B195" s="3" t="s">
        <v>71</v>
      </c>
      <c r="C195" s="3" t="s">
        <v>664</v>
      </c>
      <c r="D195" s="3" t="n">
        <v>0</v>
      </c>
      <c r="E195" s="4" t="n">
        <v>45317</v>
      </c>
      <c r="F195" s="3" t="s">
        <v>665</v>
      </c>
    </row>
    <row r="196" customFormat="false" ht="14.25" hidden="false" customHeight="true" outlineLevel="0" collapsed="false">
      <c r="A196" s="3" t="s">
        <v>9</v>
      </c>
      <c r="B196" s="3" t="s">
        <v>71</v>
      </c>
      <c r="C196" s="3" t="s">
        <v>9</v>
      </c>
      <c r="D196" s="3" t="n">
        <v>9</v>
      </c>
      <c r="E196" s="4" t="s">
        <v>9</v>
      </c>
      <c r="F196" s="3" t="s">
        <v>665</v>
      </c>
    </row>
    <row r="197" customFormat="false" ht="14.25" hidden="false" customHeight="true" outlineLevel="0" collapsed="false">
      <c r="A197" s="3" t="s">
        <v>861</v>
      </c>
      <c r="B197" s="3" t="s">
        <v>29</v>
      </c>
      <c r="C197" s="3" t="s">
        <v>664</v>
      </c>
      <c r="D197" s="3" t="n">
        <v>0</v>
      </c>
      <c r="E197" s="4" t="n">
        <v>45377</v>
      </c>
      <c r="F197" s="3" t="s">
        <v>665</v>
      </c>
    </row>
    <row r="198" customFormat="false" ht="14.25" hidden="false" customHeight="true" outlineLevel="0" collapsed="false">
      <c r="A198" s="3" t="s">
        <v>862</v>
      </c>
      <c r="B198" s="3" t="s">
        <v>77</v>
      </c>
      <c r="C198" s="3" t="s">
        <v>691</v>
      </c>
      <c r="D198" s="3" t="n">
        <v>1</v>
      </c>
      <c r="E198" s="4" t="n">
        <v>45645</v>
      </c>
      <c r="F198" s="3" t="s">
        <v>662</v>
      </c>
    </row>
    <row r="199" customFormat="false" ht="14.25" hidden="false" customHeight="true" outlineLevel="0" collapsed="false">
      <c r="A199" s="3" t="s">
        <v>863</v>
      </c>
      <c r="B199" s="3" t="s">
        <v>29</v>
      </c>
      <c r="C199" s="3" t="s">
        <v>664</v>
      </c>
      <c r="D199" s="3" t="n">
        <v>8</v>
      </c>
      <c r="E199" s="4" t="n">
        <v>45368</v>
      </c>
      <c r="F199" s="3" t="s">
        <v>662</v>
      </c>
    </row>
    <row r="200" customFormat="false" ht="14.25" hidden="false" customHeight="true" outlineLevel="0" collapsed="false">
      <c r="A200" s="3" t="s">
        <v>864</v>
      </c>
      <c r="B200" s="3" t="s">
        <v>29</v>
      </c>
      <c r="C200" s="3" t="s">
        <v>676</v>
      </c>
      <c r="D200" s="3" t="n">
        <v>6</v>
      </c>
      <c r="E200" s="4" t="n">
        <v>45432</v>
      </c>
      <c r="F200" s="3" t="s">
        <v>662</v>
      </c>
    </row>
    <row r="201" customFormat="false" ht="14.25" hidden="false" customHeight="true" outlineLevel="0" collapsed="false">
      <c r="A201" s="3" t="s">
        <v>865</v>
      </c>
      <c r="B201" s="3" t="s">
        <v>24</v>
      </c>
      <c r="C201" s="3" t="s">
        <v>664</v>
      </c>
      <c r="D201" s="3" t="n">
        <v>8</v>
      </c>
      <c r="E201" s="4" t="n">
        <v>45568</v>
      </c>
      <c r="F201" s="3" t="s">
        <v>662</v>
      </c>
    </row>
  </sheetData>
  <conditionalFormatting sqref="A1:F201">
    <cfRule type="expression" priority="2" aboveAverage="0" equalAverage="0" bottom="0" percent="0" rank="0" text="" dxfId="0">
      <formula>LEN(TRIM(A1))=0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8" width="12"/>
    <col collapsed="false" customWidth="true" hidden="false" outlineLevel="0" max="2" min="2" style="8" width="16"/>
    <col collapsed="false" customWidth="true" hidden="false" outlineLevel="0" max="3" min="3" style="8" width="10"/>
    <col collapsed="false" customWidth="true" hidden="false" outlineLevel="0" max="4" min="4" style="8" width="16"/>
    <col collapsed="false" customWidth="true" hidden="false" outlineLevel="0" max="5" min="5" style="8" width="14"/>
    <col collapsed="false" customWidth="true" hidden="false" outlineLevel="0" max="6" min="6" style="8" width="30"/>
    <col collapsed="false" customWidth="true" hidden="false" outlineLevel="0" max="8" min="7" style="8" width="16"/>
  </cols>
  <sheetData>
    <row r="1" customFormat="false" ht="15" hidden="false" customHeight="true" outlineLevel="0" collapsed="false">
      <c r="A1" s="6" t="s">
        <v>866</v>
      </c>
      <c r="B1" s="6" t="s">
        <v>867</v>
      </c>
      <c r="C1" s="6" t="s">
        <v>5</v>
      </c>
      <c r="D1" s="6" t="s">
        <v>3</v>
      </c>
      <c r="E1" s="6" t="s">
        <v>440</v>
      </c>
      <c r="F1" s="6" t="s">
        <v>441</v>
      </c>
      <c r="G1" s="6" t="s">
        <v>868</v>
      </c>
      <c r="H1" s="6" t="s">
        <v>869</v>
      </c>
      <c r="I1" s="9" t="s">
        <v>7</v>
      </c>
    </row>
    <row r="2" customFormat="false" ht="15" hidden="false" customHeight="true" outlineLevel="0" collapsed="false">
      <c r="A2" s="7" t="str">
        <f aca="false">Cleaned_Feedback!B2</f>
        <v>P99601</v>
      </c>
      <c r="B2" s="10" t="n">
        <f aca="false">IFERROR(VLOOKUP(A2,Cleaned_Appointment!$B:$G,4,FALSE()),"N/A")</f>
        <v>45643</v>
      </c>
      <c r="C2" s="11" t="n">
        <f aca="false">IFERROR(VLOOKUP(A2,Cleaned_Appointment!$B:$G,5,FALSE()),"N/A")</f>
        <v>0.625</v>
      </c>
      <c r="D2" s="7" t="str">
        <f aca="false">Cleaned_Feedback!C2</f>
        <v>Cardiology</v>
      </c>
      <c r="E2" s="7" t="n">
        <f aca="false">Cleaned_Feedback!D2</f>
        <v>4</v>
      </c>
      <c r="F2" s="7" t="str">
        <f aca="false">Cleaned_Feedback!E2</f>
        <v>Delayed response</v>
      </c>
      <c r="G2" s="7" t="n">
        <f aca="false">Cleaned_Feedback!F2</f>
        <v>45</v>
      </c>
      <c r="H2" s="7" t="str">
        <f aca="false">IF(ISNUMBER(E2),IF(E2&gt;=4,"High","Low"),"N/A")</f>
        <v>High</v>
      </c>
      <c r="I2" s="7" t="n">
        <f aca="false">IFERROR(HOUR(C2),"N/A")</f>
        <v>15</v>
      </c>
    </row>
    <row r="3" customFormat="false" ht="15" hidden="false" customHeight="true" outlineLevel="0" collapsed="false">
      <c r="A3" s="7" t="str">
        <f aca="false">Cleaned_Feedback!B3</f>
        <v>P36565</v>
      </c>
      <c r="B3" s="10" t="n">
        <f aca="false">IFERROR(VLOOKUP(A3,Cleaned_Appointment!$B:$G,4,FALSE()),"N/A")</f>
        <v>45535</v>
      </c>
      <c r="C3" s="11" t="n">
        <f aca="false">IFERROR(VLOOKUP(A3,Cleaned_Appointment!$B:$G,5,FALSE()),"N/A")</f>
        <v>0.458333333333333</v>
      </c>
      <c r="D3" s="7" t="str">
        <f aca="false">Cleaned_Feedback!C3</f>
        <v>Orthopedics</v>
      </c>
      <c r="E3" s="7" t="n">
        <f aca="false">Cleaned_Feedback!D3</f>
        <v>3</v>
      </c>
      <c r="F3" s="7" t="str">
        <f aca="false">Cleaned_Feedback!E3</f>
        <v>Needs improvement</v>
      </c>
      <c r="G3" s="7" t="n">
        <f aca="false">Cleaned_Feedback!F3</f>
        <v>45</v>
      </c>
      <c r="H3" s="7" t="str">
        <f aca="false">IF(ISNUMBER(E3),IF(E3&gt;=4,"High","Low"),"N/A")</f>
        <v>Low</v>
      </c>
      <c r="I3" s="7" t="n">
        <f aca="false">IFERROR(HOUR(C3),"N/A")</f>
        <v>11</v>
      </c>
    </row>
    <row r="4" customFormat="false" ht="15" hidden="false" customHeight="true" outlineLevel="0" collapsed="false">
      <c r="A4" s="7" t="str">
        <f aca="false">Cleaned_Feedback!B4</f>
        <v>P99601</v>
      </c>
      <c r="B4" s="10" t="n">
        <f aca="false">IFERROR(VLOOKUP(A4,Cleaned_Appointment!$B:$G,4,FALSE()),"N/A")</f>
        <v>45643</v>
      </c>
      <c r="C4" s="11" t="n">
        <f aca="false">IFERROR(VLOOKUP(A4,Cleaned_Appointment!$B:$G,5,FALSE()),"N/A")</f>
        <v>0.625</v>
      </c>
      <c r="D4" s="7" t="str">
        <f aca="false">Cleaned_Feedback!C4</f>
        <v>N/A</v>
      </c>
      <c r="E4" s="7" t="n">
        <f aca="false">Cleaned_Feedback!D4</f>
        <v>6.27</v>
      </c>
      <c r="F4" s="7" t="str">
        <f aca="false">Cleaned_Feedback!E4</f>
        <v>Excellent care</v>
      </c>
      <c r="G4" s="7" t="n">
        <f aca="false">Cleaned_Feedback!F4</f>
        <v>30</v>
      </c>
      <c r="H4" s="7" t="str">
        <f aca="false">IF(ISNUMBER(E4),IF(E4&gt;=4,"High","Low"),"N/A")</f>
        <v>High</v>
      </c>
      <c r="I4" s="7" t="n">
        <f aca="false">IFERROR(HOUR(C4),"N/A")</f>
        <v>15</v>
      </c>
    </row>
    <row r="5" customFormat="false" ht="15" hidden="false" customHeight="true" outlineLevel="0" collapsed="false">
      <c r="A5" s="7" t="str">
        <f aca="false">Cleaned_Feedback!B5</f>
        <v>P67499</v>
      </c>
      <c r="B5" s="10" t="n">
        <f aca="false">IFERROR(VLOOKUP(A5,Cleaned_Appointment!$B:$G,4,FALSE()),"N/A")</f>
        <v>45350</v>
      </c>
      <c r="C5" s="11" t="n">
        <f aca="false">IFERROR(VLOOKUP(A5,Cleaned_Appointment!$B:$G,5,FALSE()),"N/A")</f>
        <v>0.770833333333333</v>
      </c>
      <c r="D5" s="7" t="str">
        <f aca="false">Cleaned_Feedback!C5</f>
        <v>Neurology</v>
      </c>
      <c r="E5" s="7" t="n">
        <f aca="false">Cleaned_Feedback!D5</f>
        <v>9</v>
      </c>
      <c r="F5" s="7" t="str">
        <f aca="false">Cleaned_Feedback!E5</f>
        <v>Amazing team</v>
      </c>
      <c r="G5" s="7" t="n">
        <f aca="false">Cleaned_Feedback!F5</f>
        <v>30</v>
      </c>
      <c r="H5" s="7" t="str">
        <f aca="false">IF(ISNUMBER(E5),IF(E5&gt;=4,"High","Low"),"N/A")</f>
        <v>High</v>
      </c>
      <c r="I5" s="7" t="n">
        <f aca="false">IFERROR(HOUR(C5),"N/A")</f>
        <v>18</v>
      </c>
    </row>
    <row r="6" customFormat="false" ht="15" hidden="false" customHeight="true" outlineLevel="0" collapsed="false">
      <c r="A6" s="7" t="str">
        <f aca="false">Cleaned_Feedback!B6</f>
        <v>P49994</v>
      </c>
      <c r="B6" s="10" t="n">
        <f aca="false">IFERROR(VLOOKUP(A6,Cleaned_Appointment!$B:$G,4,FALSE()),"N/A")</f>
        <v>45594</v>
      </c>
      <c r="C6" s="11" t="n">
        <f aca="false">IFERROR(VLOOKUP(A6,Cleaned_Appointment!$B:$G,5,FALSE()),"N/A")</f>
        <v>0.708333333333333</v>
      </c>
      <c r="D6" s="7" t="str">
        <f aca="false">Cleaned_Feedback!C6</f>
        <v>Pediatric</v>
      </c>
      <c r="E6" s="7" t="n">
        <f aca="false">Cleaned_Feedback!D6</f>
        <v>8</v>
      </c>
      <c r="F6" s="7" t="str">
        <f aca="false">Cleaned_Feedback!E6</f>
        <v>Great doctors</v>
      </c>
      <c r="G6" s="7" t="n">
        <f aca="false">Cleaned_Feedback!F6</f>
        <v>45</v>
      </c>
      <c r="H6" s="7" t="str">
        <f aca="false">IF(ISNUMBER(E6),IF(E6&gt;=4,"High","Low"),"N/A")</f>
        <v>High</v>
      </c>
      <c r="I6" s="7" t="n">
        <f aca="false">IFERROR(HOUR(C6),"N/A")</f>
        <v>17</v>
      </c>
    </row>
    <row r="7" customFormat="false" ht="15" hidden="false" customHeight="true" outlineLevel="0" collapsed="false">
      <c r="A7" s="7" t="str">
        <f aca="false">Cleaned_Feedback!B7</f>
        <v>P31843</v>
      </c>
      <c r="B7" s="10" t="n">
        <f aca="false">IFERROR(VLOOKUP(A7,Cleaned_Appointment!$B:$G,4,FALSE()),"N/A")</f>
        <v>45646</v>
      </c>
      <c r="C7" s="11" t="n">
        <f aca="false">IFERROR(VLOOKUP(A7,Cleaned_Appointment!$B:$G,5,FALSE()),"N/A")</f>
        <v>0.4375</v>
      </c>
      <c r="D7" s="7" t="str">
        <f aca="false">Cleaned_Feedback!C7</f>
        <v>Pediatric</v>
      </c>
      <c r="E7" s="7" t="n">
        <f aca="false">Cleaned_Feedback!D7</f>
        <v>5</v>
      </c>
      <c r="F7" s="7" t="str">
        <f aca="false">Cleaned_Feedback!E7</f>
        <v>Satisfactory</v>
      </c>
      <c r="G7" s="7" t="n">
        <f aca="false">Cleaned_Feedback!F7</f>
        <v>45</v>
      </c>
      <c r="H7" s="7" t="str">
        <f aca="false">IF(ISNUMBER(E7),IF(E7&gt;=4,"High","Low"),"N/A")</f>
        <v>High</v>
      </c>
      <c r="I7" s="7" t="n">
        <f aca="false">IFERROR(HOUR(C7),"N/A")</f>
        <v>10</v>
      </c>
    </row>
    <row r="8" customFormat="false" ht="15" hidden="false" customHeight="true" outlineLevel="0" collapsed="false">
      <c r="A8" s="7" t="str">
        <f aca="false">Cleaned_Feedback!B8</f>
        <v>P63392</v>
      </c>
      <c r="B8" s="10" t="n">
        <f aca="false">IFERROR(VLOOKUP(A8,Cleaned_Appointment!$B:$G,4,FALSE()),"N/A")</f>
        <v>45324</v>
      </c>
      <c r="C8" s="11" t="n">
        <f aca="false">IFERROR(VLOOKUP(A8,Cleaned_Appointment!$B:$G,5,FALSE()),"N/A")</f>
        <v>0.625</v>
      </c>
      <c r="D8" s="7" t="str">
        <f aca="false">Cleaned_Feedback!C8</f>
        <v>Neurology</v>
      </c>
      <c r="E8" s="7" t="n">
        <f aca="false">Cleaned_Feedback!D8</f>
        <v>4</v>
      </c>
      <c r="F8" s="7" t="str">
        <f aca="false">Cleaned_Feedback!E8</f>
        <v>Delayed response</v>
      </c>
      <c r="G8" s="7" t="n">
        <f aca="false">Cleaned_Feedback!F8</f>
        <v>45</v>
      </c>
      <c r="H8" s="7" t="str">
        <f aca="false">IF(ISNUMBER(E8),IF(E8&gt;=4,"High","Low"),"N/A")</f>
        <v>High</v>
      </c>
      <c r="I8" s="7" t="n">
        <f aca="false">IFERROR(HOUR(C8),"N/A")</f>
        <v>15</v>
      </c>
    </row>
    <row r="9" customFormat="false" ht="15" hidden="false" customHeight="true" outlineLevel="0" collapsed="false">
      <c r="A9" s="7" t="str">
        <f aca="false">Cleaned_Feedback!B9</f>
        <v>P66658</v>
      </c>
      <c r="B9" s="10" t="n">
        <f aca="false">IFERROR(VLOOKUP(A9,Cleaned_Appointment!$B:$G,4,FALSE()),"N/A")</f>
        <v>45634</v>
      </c>
      <c r="C9" s="11" t="n">
        <f aca="false">IFERROR(VLOOKUP(A9,Cleaned_Appointment!$B:$G,5,FALSE()),"N/A")</f>
        <v>0.604166666666667</v>
      </c>
      <c r="D9" s="7" t="str">
        <f aca="false">Cleaned_Feedback!C9</f>
        <v>Neurology</v>
      </c>
      <c r="E9" s="7" t="n">
        <f aca="false">Cleaned_Feedback!D9</f>
        <v>7</v>
      </c>
      <c r="F9" s="7" t="str">
        <f aca="false">Cleaned_Feedback!E9</f>
        <v>Child-friendly staff</v>
      </c>
      <c r="G9" s="7" t="n">
        <f aca="false">Cleaned_Feedback!F9</f>
        <v>45</v>
      </c>
      <c r="H9" s="7" t="str">
        <f aca="false">IF(ISNUMBER(E9),IF(E9&gt;=4,"High","Low"),"N/A")</f>
        <v>High</v>
      </c>
      <c r="I9" s="7" t="n">
        <f aca="false">IFERROR(HOUR(C9),"N/A")</f>
        <v>14</v>
      </c>
    </row>
    <row r="10" customFormat="false" ht="15" hidden="false" customHeight="true" outlineLevel="0" collapsed="false">
      <c r="A10" s="7" t="str">
        <f aca="false">Cleaned_Feedback!B10</f>
        <v>P95953</v>
      </c>
      <c r="B10" s="10" t="n">
        <f aca="false">IFERROR(VLOOKUP(A10,Cleaned_Appointment!$B:$G,4,FALSE()),"N/A")</f>
        <v>45325</v>
      </c>
      <c r="C10" s="11" t="n">
        <f aca="false">IFERROR(VLOOKUP(A10,Cleaned_Appointment!$B:$G,5,FALSE()),"N/A")</f>
        <v>0.395833333333333</v>
      </c>
      <c r="D10" s="7" t="str">
        <f aca="false">Cleaned_Feedback!C10</f>
        <v>Cardiology</v>
      </c>
      <c r="E10" s="7" t="n">
        <f aca="false">Cleaned_Feedback!D10</f>
        <v>7</v>
      </c>
      <c r="F10" s="7" t="str">
        <f aca="false">Cleaned_Feedback!E10</f>
        <v>Child-friendly staff</v>
      </c>
      <c r="G10" s="7" t="n">
        <f aca="false">Cleaned_Feedback!F10</f>
        <v>45</v>
      </c>
      <c r="H10" s="7" t="str">
        <f aca="false">IF(ISNUMBER(E10),IF(E10&gt;=4,"High","Low"),"N/A")</f>
        <v>High</v>
      </c>
      <c r="I10" s="7" t="n">
        <f aca="false">IFERROR(HOUR(C10),"N/A")</f>
        <v>9</v>
      </c>
    </row>
    <row r="11" customFormat="false" ht="15" hidden="false" customHeight="true" outlineLevel="0" collapsed="false">
      <c r="A11" s="7" t="str">
        <f aca="false">Cleaned_Feedback!B11</f>
        <v>P80770</v>
      </c>
      <c r="B11" s="10" t="n">
        <f aca="false">IFERROR(VLOOKUP(A11,Cleaned_Appointment!$B:$G,4,FALSE()),"N/A")</f>
        <v>45368</v>
      </c>
      <c r="C11" s="11" t="n">
        <f aca="false">IFERROR(VLOOKUP(A11,Cleaned_Appointment!$B:$G,5,FALSE()),"N/A")</f>
        <v>0.375</v>
      </c>
      <c r="D11" s="7" t="str">
        <f aca="false">Cleaned_Feedback!C11</f>
        <v>Orthopedics</v>
      </c>
      <c r="E11" s="7" t="n">
        <f aca="false">Cleaned_Feedback!D11</f>
        <v>4</v>
      </c>
      <c r="F11" s="7" t="str">
        <f aca="false">Cleaned_Feedback!E11</f>
        <v>Delayed response</v>
      </c>
      <c r="G11" s="7" t="n">
        <f aca="false">Cleaned_Feedback!F11</f>
        <v>45</v>
      </c>
      <c r="H11" s="7" t="str">
        <f aca="false">IF(ISNUMBER(E11),IF(E11&gt;=4,"High","Low"),"N/A")</f>
        <v>High</v>
      </c>
      <c r="I11" s="7" t="n">
        <f aca="false">IFERROR(HOUR(C11),"N/A")</f>
        <v>9</v>
      </c>
    </row>
    <row r="12" customFormat="false" ht="15" hidden="false" customHeight="true" outlineLevel="0" collapsed="false">
      <c r="A12" s="7" t="str">
        <f aca="false">Cleaned_Feedback!B12</f>
        <v>P29680</v>
      </c>
      <c r="B12" s="10" t="n">
        <f aca="false">IFERROR(VLOOKUP(A12,Cleaned_Appointment!$B:$G,4,FALSE()),"N/A")</f>
        <v>45460</v>
      </c>
      <c r="C12" s="11" t="n">
        <f aca="false">IFERROR(VLOOKUP(A12,Cleaned_Appointment!$B:$G,5,FALSE()),"N/A")</f>
        <v>0.354166666666667</v>
      </c>
      <c r="D12" s="7" t="str">
        <f aca="false">Cleaned_Feedback!C12</f>
        <v>Orthopedics</v>
      </c>
      <c r="E12" s="7" t="n">
        <f aca="false">Cleaned_Feedback!D12</f>
        <v>4</v>
      </c>
      <c r="F12" s="7" t="str">
        <f aca="false">Cleaned_Feedback!E12</f>
        <v>Room cleanliness issue</v>
      </c>
      <c r="G12" s="7" t="n">
        <f aca="false">Cleaned_Feedback!F12</f>
        <v>45</v>
      </c>
      <c r="H12" s="7" t="str">
        <f aca="false">IF(ISNUMBER(E12),IF(E12&gt;=4,"High","Low"),"N/A")</f>
        <v>High</v>
      </c>
      <c r="I12" s="7" t="n">
        <f aca="false">IFERROR(HOUR(C12),"N/A")</f>
        <v>8</v>
      </c>
    </row>
    <row r="13" customFormat="false" ht="15" hidden="false" customHeight="true" outlineLevel="0" collapsed="false">
      <c r="A13" s="7" t="str">
        <f aca="false">Cleaned_Feedback!B13</f>
        <v>P93978</v>
      </c>
      <c r="B13" s="10" t="n">
        <f aca="false">IFERROR(VLOOKUP(A13,Cleaned_Appointment!$B:$G,4,FALSE()),"N/A")</f>
        <v>45519</v>
      </c>
      <c r="C13" s="11" t="n">
        <f aca="false">IFERROR(VLOOKUP(A13,Cleaned_Appointment!$B:$G,5,FALSE()),"N/A")</f>
        <v>0.645833333333333</v>
      </c>
      <c r="D13" s="7" t="str">
        <f aca="false">Cleaned_Feedback!C13</f>
        <v>Orthopedics</v>
      </c>
      <c r="E13" s="7" t="n">
        <f aca="false">Cleaned_Feedback!D13</f>
        <v>3</v>
      </c>
      <c r="F13" s="7" t="str">
        <f aca="false">Cleaned_Feedback!E13</f>
        <v>Long wait times</v>
      </c>
      <c r="G13" s="7" t="n">
        <f aca="false">Cleaned_Feedback!F13</f>
        <v>45</v>
      </c>
      <c r="H13" s="7" t="str">
        <f aca="false">IF(ISNUMBER(E13),IF(E13&gt;=4,"High","Low"),"N/A")</f>
        <v>Low</v>
      </c>
      <c r="I13" s="7" t="n">
        <f aca="false">IFERROR(HOUR(C13),"N/A")</f>
        <v>15</v>
      </c>
    </row>
    <row r="14" customFormat="false" ht="15" hidden="false" customHeight="true" outlineLevel="0" collapsed="false">
      <c r="A14" s="7" t="str">
        <f aca="false">Cleaned_Feedback!B14</f>
        <v>P25878</v>
      </c>
      <c r="B14" s="10" t="n">
        <f aca="false">IFERROR(VLOOKUP(A14,Cleaned_Appointment!$B:$G,4,FALSE()),"N/A")</f>
        <v>45521</v>
      </c>
      <c r="C14" s="11" t="n">
        <f aca="false">IFERROR(VLOOKUP(A14,Cleaned_Appointment!$B:$G,5,FALSE()),"N/A")</f>
        <v>0.666666666666667</v>
      </c>
      <c r="D14" s="7" t="str">
        <f aca="false">Cleaned_Feedback!C14</f>
        <v>Pediatric</v>
      </c>
      <c r="E14" s="7" t="n">
        <f aca="false">Cleaned_Feedback!D14</f>
        <v>7</v>
      </c>
      <c r="F14" s="7" t="str">
        <f aca="false">Cleaned_Feedback!E14</f>
        <v>Child-friendly staff</v>
      </c>
      <c r="G14" s="7" t="n">
        <f aca="false">Cleaned_Feedback!F14</f>
        <v>45</v>
      </c>
      <c r="H14" s="7" t="str">
        <f aca="false">IF(ISNUMBER(E14),IF(E14&gt;=4,"High","Low"),"N/A")</f>
        <v>High</v>
      </c>
      <c r="I14" s="7" t="n">
        <f aca="false">IFERROR(HOUR(C14),"N/A")</f>
        <v>16</v>
      </c>
    </row>
    <row r="15" customFormat="false" ht="15" hidden="false" customHeight="true" outlineLevel="0" collapsed="false">
      <c r="A15" s="7" t="str">
        <f aca="false">Cleaned_Feedback!B15</f>
        <v>P41254</v>
      </c>
      <c r="B15" s="10" t="n">
        <f aca="false">IFERROR(VLOOKUP(A15,Cleaned_Appointment!$B:$G,4,FALSE()),"N/A")</f>
        <v>45344</v>
      </c>
      <c r="C15" s="11" t="n">
        <f aca="false">IFERROR(VLOOKUP(A15,Cleaned_Appointment!$B:$G,5,FALSE()),"N/A")</f>
        <v>0.333333333333333</v>
      </c>
      <c r="D15" s="7" t="str">
        <f aca="false">Cleaned_Feedback!C15</f>
        <v>Cardiology</v>
      </c>
      <c r="E15" s="7" t="n">
        <f aca="false">Cleaned_Feedback!D15</f>
        <v>3</v>
      </c>
      <c r="F15" s="7" t="str">
        <f aca="false">Cleaned_Feedback!E15</f>
        <v>Long wait times</v>
      </c>
      <c r="G15" s="7" t="n">
        <f aca="false">Cleaned_Feedback!F15</f>
        <v>45</v>
      </c>
      <c r="H15" s="7" t="str">
        <f aca="false">IF(ISNUMBER(E15),IF(E15&gt;=4,"High","Low"),"N/A")</f>
        <v>Low</v>
      </c>
      <c r="I15" s="7" t="n">
        <f aca="false">IFERROR(HOUR(C15),"N/A")</f>
        <v>8</v>
      </c>
    </row>
    <row r="16" customFormat="false" ht="15" hidden="false" customHeight="true" outlineLevel="0" collapsed="false">
      <c r="A16" s="7" t="str">
        <f aca="false">Cleaned_Feedback!B16</f>
        <v>P73818</v>
      </c>
      <c r="B16" s="10" t="n">
        <f aca="false">IFERROR(VLOOKUP(A16,Cleaned_Appointment!$B:$G,4,FALSE()),"N/A")</f>
        <v>45311</v>
      </c>
      <c r="C16" s="11" t="n">
        <f aca="false">IFERROR(VLOOKUP(A16,Cleaned_Appointment!$B:$G,5,FALSE()),"N/A")</f>
        <v>0.75</v>
      </c>
      <c r="D16" s="7" t="str">
        <f aca="false">Cleaned_Feedback!C16</f>
        <v>Orthopedics</v>
      </c>
      <c r="E16" s="7" t="n">
        <f aca="false">Cleaned_Feedback!D16</f>
        <v>3</v>
      </c>
      <c r="F16" s="7" t="str">
        <f aca="false">Cleaned_Feedback!E16</f>
        <v>Long wait times</v>
      </c>
      <c r="G16" s="7" t="n">
        <f aca="false">Cleaned_Feedback!F16</f>
        <v>45</v>
      </c>
      <c r="H16" s="7" t="str">
        <f aca="false">IF(ISNUMBER(E16),IF(E16&gt;=4,"High","Low"),"N/A")</f>
        <v>Low</v>
      </c>
      <c r="I16" s="7" t="n">
        <f aca="false">IFERROR(HOUR(C16),"N/A")</f>
        <v>18</v>
      </c>
    </row>
    <row r="17" customFormat="false" ht="15" hidden="false" customHeight="true" outlineLevel="0" collapsed="false">
      <c r="A17" s="7" t="str">
        <f aca="false">Cleaned_Feedback!B17</f>
        <v>P79312</v>
      </c>
      <c r="B17" s="10" t="n">
        <f aca="false">IFERROR(VLOOKUP(A17,Cleaned_Appointment!$B:$G,4,FALSE()),"N/A")</f>
        <v>45589</v>
      </c>
      <c r="C17" s="11" t="n">
        <f aca="false">IFERROR(VLOOKUP(A17,Cleaned_Appointment!$B:$G,5,FALSE()),"N/A")</f>
        <v>0.625</v>
      </c>
      <c r="D17" s="7" t="str">
        <f aca="false">Cleaned_Feedback!C17</f>
        <v>Neurology</v>
      </c>
      <c r="E17" s="7" t="n">
        <f aca="false">Cleaned_Feedback!D17</f>
        <v>6</v>
      </c>
      <c r="F17" s="7" t="str">
        <f aca="false">Cleaned_Feedback!E17</f>
        <v>Very good</v>
      </c>
      <c r="G17" s="7" t="n">
        <f aca="false">Cleaned_Feedback!F17</f>
        <v>45</v>
      </c>
      <c r="H17" s="7" t="str">
        <f aca="false">IF(ISNUMBER(E17),IF(E17&gt;=4,"High","Low"),"N/A")</f>
        <v>High</v>
      </c>
      <c r="I17" s="7" t="n">
        <f aca="false">IFERROR(HOUR(C17),"N/A")</f>
        <v>15</v>
      </c>
    </row>
    <row r="18" customFormat="false" ht="15" hidden="false" customHeight="true" outlineLevel="0" collapsed="false">
      <c r="A18" s="7" t="str">
        <f aca="false">Cleaned_Feedback!B18</f>
        <v>P82827</v>
      </c>
      <c r="B18" s="10" t="n">
        <f aca="false">IFERROR(VLOOKUP(A18,Cleaned_Appointment!$B:$G,4,FALSE()),"N/A")</f>
        <v>45615</v>
      </c>
      <c r="C18" s="11" t="n">
        <f aca="false">IFERROR(VLOOKUP(A18,Cleaned_Appointment!$B:$G,5,FALSE()),"N/A")</f>
        <v>0.604166666666667</v>
      </c>
      <c r="D18" s="7" t="str">
        <f aca="false">Cleaned_Feedback!C18</f>
        <v>Neurology</v>
      </c>
      <c r="E18" s="7" t="n">
        <f aca="false">Cleaned_Feedback!D18</f>
        <v>5</v>
      </c>
      <c r="F18" s="7" t="str">
        <f aca="false">Cleaned_Feedback!E18</f>
        <v>Average</v>
      </c>
      <c r="G18" s="7" t="n">
        <f aca="false">Cleaned_Feedback!F18</f>
        <v>45</v>
      </c>
      <c r="H18" s="7" t="str">
        <f aca="false">IF(ISNUMBER(E18),IF(E18&gt;=4,"High","Low"),"N/A")</f>
        <v>High</v>
      </c>
      <c r="I18" s="7" t="n">
        <f aca="false">IFERROR(HOUR(C18),"N/A")</f>
        <v>14</v>
      </c>
    </row>
    <row r="19" customFormat="false" ht="15" hidden="false" customHeight="true" outlineLevel="0" collapsed="false">
      <c r="A19" s="7" t="str">
        <f aca="false">Cleaned_Feedback!B19</f>
        <v>P25878</v>
      </c>
      <c r="B19" s="10" t="n">
        <f aca="false">IFERROR(VLOOKUP(A19,Cleaned_Appointment!$B:$G,4,FALSE()),"N/A")</f>
        <v>45521</v>
      </c>
      <c r="C19" s="11" t="n">
        <f aca="false">IFERROR(VLOOKUP(A19,Cleaned_Appointment!$B:$G,5,FALSE()),"N/A")</f>
        <v>0.666666666666667</v>
      </c>
      <c r="D19" s="7" t="str">
        <f aca="false">Cleaned_Feedback!C19</f>
        <v>N/A</v>
      </c>
      <c r="E19" s="7" t="n">
        <f aca="false">Cleaned_Feedback!D19</f>
        <v>6.27</v>
      </c>
      <c r="F19" s="7" t="str">
        <f aca="false">Cleaned_Feedback!E19</f>
        <v>Helpful staff</v>
      </c>
      <c r="G19" s="7" t="str">
        <f aca="false">Cleaned_Feedback!F19</f>
        <v>N/A</v>
      </c>
      <c r="H19" s="7" t="str">
        <f aca="false">IF(ISNUMBER(E19),IF(E19&gt;=4,"High","Low"),"N/A")</f>
        <v>High</v>
      </c>
      <c r="I19" s="7" t="n">
        <f aca="false">IFERROR(HOUR(C19),"N/A")</f>
        <v>16</v>
      </c>
    </row>
    <row r="20" customFormat="false" ht="15" hidden="false" customHeight="true" outlineLevel="0" collapsed="false">
      <c r="A20" s="7" t="str">
        <f aca="false">Cleaned_Feedback!B20</f>
        <v>P93291</v>
      </c>
      <c r="B20" s="10" t="n">
        <f aca="false">IFERROR(VLOOKUP(A20,Cleaned_Appointment!$B:$G,4,FALSE()),"N/A")</f>
        <v>45476</v>
      </c>
      <c r="C20" s="11" t="n">
        <f aca="false">IFERROR(VLOOKUP(A20,Cleaned_Appointment!$B:$G,5,FALSE()),"N/A")</f>
        <v>0.75</v>
      </c>
      <c r="D20" s="7" t="str">
        <f aca="false">Cleaned_Feedback!C20</f>
        <v>Neurology</v>
      </c>
      <c r="E20" s="7" t="n">
        <f aca="false">Cleaned_Feedback!D20</f>
        <v>8</v>
      </c>
      <c r="F20" s="7" t="str">
        <f aca="false">Cleaned_Feedback!E20</f>
        <v>Efficient process</v>
      </c>
      <c r="G20" s="7" t="n">
        <f aca="false">Cleaned_Feedback!F20</f>
        <v>45</v>
      </c>
      <c r="H20" s="7" t="str">
        <f aca="false">IF(ISNUMBER(E20),IF(E20&gt;=4,"High","Low"),"N/A")</f>
        <v>High</v>
      </c>
      <c r="I20" s="7" t="n">
        <f aca="false">IFERROR(HOUR(C20),"N/A")</f>
        <v>18</v>
      </c>
    </row>
    <row r="21" customFormat="false" ht="15" hidden="false" customHeight="true" outlineLevel="0" collapsed="false">
      <c r="A21" s="7" t="str">
        <f aca="false">Cleaned_Feedback!B21</f>
        <v>P14299</v>
      </c>
      <c r="B21" s="10" t="n">
        <f aca="false">IFERROR(VLOOKUP(A21,Cleaned_Appointment!$B:$G,4,FALSE()),"N/A")</f>
        <v>45652</v>
      </c>
      <c r="C21" s="11" t="n">
        <f aca="false">IFERROR(VLOOKUP(A21,Cleaned_Appointment!$B:$G,5,FALSE()),"N/A")</f>
        <v>0.520833333333333</v>
      </c>
      <c r="D21" s="7" t="str">
        <f aca="false">Cleaned_Feedback!C21</f>
        <v>Cardiology</v>
      </c>
      <c r="E21" s="7" t="n">
        <f aca="false">Cleaned_Feedback!D21</f>
        <v>8</v>
      </c>
      <c r="F21" s="7" t="str">
        <f aca="false">Cleaned_Feedback!E21</f>
        <v>Great doctors</v>
      </c>
      <c r="G21" s="7" t="n">
        <f aca="false">Cleaned_Feedback!F21</f>
        <v>45</v>
      </c>
      <c r="H21" s="7" t="str">
        <f aca="false">IF(ISNUMBER(E21),IF(E21&gt;=4,"High","Low"),"N/A")</f>
        <v>High</v>
      </c>
      <c r="I21" s="7" t="n">
        <f aca="false">IFERROR(HOUR(C21),"N/A")</f>
        <v>12</v>
      </c>
    </row>
    <row r="22" customFormat="false" ht="15" hidden="false" customHeight="true" outlineLevel="0" collapsed="false">
      <c r="A22" s="7" t="str">
        <f aca="false">Cleaned_Feedback!B22</f>
        <v>P90461</v>
      </c>
      <c r="B22" s="10" t="n">
        <f aca="false">IFERROR(VLOOKUP(A22,Cleaned_Appointment!$B:$G,4,FALSE()),"N/A")</f>
        <v>45640</v>
      </c>
      <c r="C22" s="11" t="n">
        <f aca="false">IFERROR(VLOOKUP(A22,Cleaned_Appointment!$B:$G,5,FALSE()),"N/A")</f>
        <v>0.541666666666667</v>
      </c>
      <c r="D22" s="7" t="str">
        <f aca="false">Cleaned_Feedback!C22</f>
        <v>Oncology</v>
      </c>
      <c r="E22" s="7" t="n">
        <f aca="false">Cleaned_Feedback!D22</f>
        <v>3</v>
      </c>
      <c r="F22" s="7" t="str">
        <f aca="false">Cleaned_Feedback!E22</f>
        <v>Needs improvement</v>
      </c>
      <c r="G22" s="7" t="n">
        <f aca="false">Cleaned_Feedback!F22</f>
        <v>45</v>
      </c>
      <c r="H22" s="7" t="str">
        <f aca="false">IF(ISNUMBER(E22),IF(E22&gt;=4,"High","Low"),"N/A")</f>
        <v>Low</v>
      </c>
      <c r="I22" s="7" t="n">
        <f aca="false">IFERROR(HOUR(C22),"N/A")</f>
        <v>13</v>
      </c>
    </row>
    <row r="23" customFormat="false" ht="15" hidden="false" customHeight="true" outlineLevel="0" collapsed="false">
      <c r="A23" s="7" t="str">
        <f aca="false">Cleaned_Feedback!B23</f>
        <v>P77174</v>
      </c>
      <c r="B23" s="10" t="n">
        <f aca="false">IFERROR(VLOOKUP(A23,Cleaned_Appointment!$B:$G,4,FALSE()),"N/A")</f>
        <v>45635</v>
      </c>
      <c r="C23" s="11" t="n">
        <f aca="false">IFERROR(VLOOKUP(A23,Cleaned_Appointment!$B:$G,5,FALSE()),"N/A")</f>
        <v>0.395833333333333</v>
      </c>
      <c r="D23" s="7" t="str">
        <f aca="false">Cleaned_Feedback!C23</f>
        <v>Pediatric</v>
      </c>
      <c r="E23" s="7" t="n">
        <f aca="false">Cleaned_Feedback!D23</f>
        <v>4</v>
      </c>
      <c r="F23" s="7" t="str">
        <f aca="false">Cleaned_Feedback!E23</f>
        <v>Delayed response</v>
      </c>
      <c r="G23" s="7" t="n">
        <f aca="false">Cleaned_Feedback!F23</f>
        <v>45</v>
      </c>
      <c r="H23" s="7" t="str">
        <f aca="false">IF(ISNUMBER(E23),IF(E23&gt;=4,"High","Low"),"N/A")</f>
        <v>High</v>
      </c>
      <c r="I23" s="7" t="n">
        <f aca="false">IFERROR(HOUR(C23),"N/A")</f>
        <v>9</v>
      </c>
    </row>
    <row r="24" customFormat="false" ht="15" hidden="false" customHeight="true" outlineLevel="0" collapsed="false">
      <c r="A24" s="7" t="str">
        <f aca="false">Cleaned_Feedback!B24</f>
        <v>P38694</v>
      </c>
      <c r="B24" s="10" t="n">
        <f aca="false">IFERROR(VLOOKUP(A24,Cleaned_Appointment!$B:$G,4,FALSE()),"N/A")</f>
        <v>45644</v>
      </c>
      <c r="C24" s="11" t="n">
        <f aca="false">IFERROR(VLOOKUP(A24,Cleaned_Appointment!$B:$G,5,FALSE()),"N/A")</f>
        <v>0.416666666666667</v>
      </c>
      <c r="D24" s="7" t="str">
        <f aca="false">Cleaned_Feedback!C24</f>
        <v>General Medicine</v>
      </c>
      <c r="E24" s="7" t="n">
        <f aca="false">Cleaned_Feedback!D24</f>
        <v>7</v>
      </c>
      <c r="F24" s="7" t="str">
        <f aca="false">Cleaned_Feedback!E24</f>
        <v>Child-friendly staff</v>
      </c>
      <c r="G24" s="7" t="n">
        <f aca="false">Cleaned_Feedback!F24</f>
        <v>45</v>
      </c>
      <c r="H24" s="7" t="str">
        <f aca="false">IF(ISNUMBER(E24),IF(E24&gt;=4,"High","Low"),"N/A")</f>
        <v>High</v>
      </c>
      <c r="I24" s="7" t="n">
        <f aca="false">IFERROR(HOUR(C24),"N/A")</f>
        <v>10</v>
      </c>
    </row>
    <row r="25" customFormat="false" ht="15" hidden="false" customHeight="true" outlineLevel="0" collapsed="false">
      <c r="A25" s="7" t="str">
        <f aca="false">Cleaned_Feedback!B25</f>
        <v>P45916</v>
      </c>
      <c r="B25" s="10" t="n">
        <f aca="false">IFERROR(VLOOKUP(A25,Cleaned_Appointment!$B:$G,4,FALSE()),"N/A")</f>
        <v>45641</v>
      </c>
      <c r="C25" s="11" t="n">
        <f aca="false">IFERROR(VLOOKUP(A25,Cleaned_Appointment!$B:$G,5,FALSE()),"N/A")</f>
        <v>0.75</v>
      </c>
      <c r="D25" s="7" t="str">
        <f aca="false">Cleaned_Feedback!C25</f>
        <v>General Medicine</v>
      </c>
      <c r="E25" s="7" t="n">
        <f aca="false">Cleaned_Feedback!D25</f>
        <v>4</v>
      </c>
      <c r="F25" s="7" t="str">
        <f aca="false">Cleaned_Feedback!E25</f>
        <v>Delayed response</v>
      </c>
      <c r="G25" s="7" t="n">
        <f aca="false">Cleaned_Feedback!F25</f>
        <v>45</v>
      </c>
      <c r="H25" s="7" t="str">
        <f aca="false">IF(ISNUMBER(E25),IF(E25&gt;=4,"High","Low"),"N/A")</f>
        <v>High</v>
      </c>
      <c r="I25" s="7" t="n">
        <f aca="false">IFERROR(HOUR(C25),"N/A")</f>
        <v>18</v>
      </c>
    </row>
    <row r="26" customFormat="false" ht="15" hidden="false" customHeight="true" outlineLevel="0" collapsed="false">
      <c r="A26" s="7" t="str">
        <f aca="false">Cleaned_Feedback!B26</f>
        <v>P67499</v>
      </c>
      <c r="B26" s="10" t="n">
        <f aca="false">IFERROR(VLOOKUP(A26,Cleaned_Appointment!$B:$G,4,FALSE()),"N/A")</f>
        <v>45350</v>
      </c>
      <c r="C26" s="11" t="n">
        <f aca="false">IFERROR(VLOOKUP(A26,Cleaned_Appointment!$B:$G,5,FALSE()),"N/A")</f>
        <v>0.770833333333333</v>
      </c>
      <c r="D26" s="7" t="str">
        <f aca="false">Cleaned_Feedback!C26</f>
        <v>General Medicine</v>
      </c>
      <c r="E26" s="7" t="n">
        <f aca="false">Cleaned_Feedback!D26</f>
        <v>9</v>
      </c>
      <c r="F26" s="7" t="str">
        <f aca="false">Cleaned_Feedback!E26</f>
        <v>Highly recommended</v>
      </c>
      <c r="G26" s="7" t="n">
        <f aca="false">Cleaned_Feedback!F26</f>
        <v>30</v>
      </c>
      <c r="H26" s="7" t="str">
        <f aca="false">IF(ISNUMBER(E26),IF(E26&gt;=4,"High","Low"),"N/A")</f>
        <v>High</v>
      </c>
      <c r="I26" s="7" t="n">
        <f aca="false">IFERROR(HOUR(C26),"N/A")</f>
        <v>18</v>
      </c>
    </row>
    <row r="27" customFormat="false" ht="15" hidden="false" customHeight="true" outlineLevel="0" collapsed="false">
      <c r="A27" s="7" t="str">
        <f aca="false">Cleaned_Feedback!B27</f>
        <v>P68619</v>
      </c>
      <c r="B27" s="10" t="n">
        <f aca="false">IFERROR(VLOOKUP(A27,Cleaned_Appointment!$B:$G,4,FALSE()),"N/A")</f>
        <v>45558</v>
      </c>
      <c r="C27" s="11" t="n">
        <f aca="false">IFERROR(VLOOKUP(A27,Cleaned_Appointment!$B:$G,5,FALSE()),"N/A")</f>
        <v>0.75</v>
      </c>
      <c r="D27" s="7" t="str">
        <f aca="false">Cleaned_Feedback!C27</f>
        <v>Pediatric</v>
      </c>
      <c r="E27" s="7" t="n">
        <f aca="false">Cleaned_Feedback!D27</f>
        <v>4</v>
      </c>
      <c r="F27" s="7" t="str">
        <f aca="false">Cleaned_Feedback!E27</f>
        <v>Delayed response</v>
      </c>
      <c r="G27" s="7" t="n">
        <f aca="false">Cleaned_Feedback!F27</f>
        <v>45</v>
      </c>
      <c r="H27" s="7" t="str">
        <f aca="false">IF(ISNUMBER(E27),IF(E27&gt;=4,"High","Low"),"N/A")</f>
        <v>High</v>
      </c>
      <c r="I27" s="7" t="n">
        <f aca="false">IFERROR(HOUR(C27),"N/A")</f>
        <v>18</v>
      </c>
    </row>
    <row r="28" customFormat="false" ht="15" hidden="false" customHeight="true" outlineLevel="0" collapsed="false">
      <c r="A28" s="7" t="str">
        <f aca="false">Cleaned_Feedback!B28</f>
        <v>P11071</v>
      </c>
      <c r="B28" s="10" t="n">
        <f aca="false">IFERROR(VLOOKUP(A28,Cleaned_Appointment!$B:$G,4,FALSE()),"N/A")</f>
        <v>45486</v>
      </c>
      <c r="C28" s="11" t="n">
        <f aca="false">IFERROR(VLOOKUP(A28,Cleaned_Appointment!$B:$G,5,FALSE()),"N/A")</f>
        <v>0.770833333333333</v>
      </c>
      <c r="D28" s="7" t="str">
        <f aca="false">Cleaned_Feedback!C28</f>
        <v>Orthopedics</v>
      </c>
      <c r="E28" s="7" t="n">
        <f aca="false">Cleaned_Feedback!D28</f>
        <v>7</v>
      </c>
      <c r="F28" s="7" t="str">
        <f aca="false">Cleaned_Feedback!E28</f>
        <v>Child-friendly staff</v>
      </c>
      <c r="G28" s="7" t="n">
        <f aca="false">Cleaned_Feedback!F28</f>
        <v>45</v>
      </c>
      <c r="H28" s="7" t="str">
        <f aca="false">IF(ISNUMBER(E28),IF(E28&gt;=4,"High","Low"),"N/A")</f>
        <v>High</v>
      </c>
      <c r="I28" s="7" t="n">
        <f aca="false">IFERROR(HOUR(C28),"N/A")</f>
        <v>18</v>
      </c>
    </row>
    <row r="29" customFormat="false" ht="15" hidden="false" customHeight="true" outlineLevel="0" collapsed="false">
      <c r="A29" s="7" t="str">
        <f aca="false">Cleaned_Feedback!B29</f>
        <v>P18878</v>
      </c>
      <c r="B29" s="10" t="n">
        <f aca="false">IFERROR(VLOOKUP(A29,Cleaned_Appointment!$B:$G,4,FALSE()),"N/A")</f>
        <v>45322</v>
      </c>
      <c r="C29" s="11" t="n">
        <f aca="false">IFERROR(VLOOKUP(A29,Cleaned_Appointment!$B:$G,5,FALSE()),"N/A")</f>
        <v>0.75</v>
      </c>
      <c r="D29" s="7" t="str">
        <f aca="false">Cleaned_Feedback!C29</f>
        <v>Pediatric</v>
      </c>
      <c r="E29" s="7" t="n">
        <f aca="false">Cleaned_Feedback!D29</f>
        <v>7</v>
      </c>
      <c r="F29" s="7" t="str">
        <f aca="false">Cleaned_Feedback!E29</f>
        <v>Satisfactory</v>
      </c>
      <c r="G29" s="7" t="n">
        <f aca="false">Cleaned_Feedback!F29</f>
        <v>45</v>
      </c>
      <c r="H29" s="7" t="str">
        <f aca="false">IF(ISNUMBER(E29),IF(E29&gt;=4,"High","Low"),"N/A")</f>
        <v>High</v>
      </c>
      <c r="I29" s="7" t="n">
        <f aca="false">IFERROR(HOUR(C29),"N/A")</f>
        <v>18</v>
      </c>
    </row>
    <row r="30" customFormat="false" ht="15" hidden="false" customHeight="true" outlineLevel="0" collapsed="false">
      <c r="A30" s="7" t="str">
        <f aca="false">Cleaned_Feedback!B30</f>
        <v>P88817</v>
      </c>
      <c r="B30" s="10" t="n">
        <f aca="false">IFERROR(VLOOKUP(A30,Cleaned_Appointment!$B:$G,4,FALSE()),"N/A")</f>
        <v>45520</v>
      </c>
      <c r="C30" s="11" t="n">
        <f aca="false">IFERROR(VLOOKUP(A30,Cleaned_Appointment!$B:$G,5,FALSE()),"N/A")</f>
        <v>0.666666666666667</v>
      </c>
      <c r="D30" s="7" t="str">
        <f aca="false">Cleaned_Feedback!C30</f>
        <v>Pediatric</v>
      </c>
      <c r="E30" s="7" t="n">
        <f aca="false">Cleaned_Feedback!D30</f>
        <v>3</v>
      </c>
      <c r="F30" s="7" t="str">
        <f aca="false">Cleaned_Feedback!E30</f>
        <v>Needs improvement</v>
      </c>
      <c r="G30" s="7" t="n">
        <f aca="false">Cleaned_Feedback!F30</f>
        <v>45</v>
      </c>
      <c r="H30" s="7" t="str">
        <f aca="false">IF(ISNUMBER(E30),IF(E30&gt;=4,"High","Low"),"N/A")</f>
        <v>Low</v>
      </c>
      <c r="I30" s="7" t="n">
        <f aca="false">IFERROR(HOUR(C30),"N/A")</f>
        <v>16</v>
      </c>
    </row>
    <row r="31" customFormat="false" ht="15" hidden="false" customHeight="true" outlineLevel="0" collapsed="false">
      <c r="A31" s="7" t="str">
        <f aca="false">Cleaned_Feedback!B31</f>
        <v>P70452</v>
      </c>
      <c r="B31" s="10" t="n">
        <f aca="false">IFERROR(VLOOKUP(A31,Cleaned_Appointment!$B:$G,4,FALSE()),"N/A")</f>
        <v>45622</v>
      </c>
      <c r="C31" s="11" t="n">
        <f aca="false">IFERROR(VLOOKUP(A31,Cleaned_Appointment!$B:$G,5,FALSE()),"N/A")</f>
        <v>0.416666666666667</v>
      </c>
      <c r="D31" s="7" t="str">
        <f aca="false">Cleaned_Feedback!C31</f>
        <v>Neurology</v>
      </c>
      <c r="E31" s="7" t="n">
        <f aca="false">Cleaned_Feedback!D31</f>
        <v>9</v>
      </c>
      <c r="F31" s="7" t="str">
        <f aca="false">Cleaned_Feedback!E31</f>
        <v>Excellent care</v>
      </c>
      <c r="G31" s="7" t="n">
        <f aca="false">Cleaned_Feedback!F31</f>
        <v>30</v>
      </c>
      <c r="H31" s="7" t="str">
        <f aca="false">IF(ISNUMBER(E31),IF(E31&gt;=4,"High","Low"),"N/A")</f>
        <v>High</v>
      </c>
      <c r="I31" s="7" t="n">
        <f aca="false">IFERROR(HOUR(C31),"N/A")</f>
        <v>10</v>
      </c>
    </row>
    <row r="32" customFormat="false" ht="15" hidden="false" customHeight="true" outlineLevel="0" collapsed="false">
      <c r="A32" s="7" t="str">
        <f aca="false">Cleaned_Feedback!B32</f>
        <v>P79213</v>
      </c>
      <c r="B32" s="10" t="n">
        <f aca="false">IFERROR(VLOOKUP(A32,Cleaned_Appointment!$B:$G,4,FALSE()),"N/A")</f>
        <v>45642</v>
      </c>
      <c r="C32" s="11" t="n">
        <f aca="false">IFERROR(VLOOKUP(A32,Cleaned_Appointment!$B:$G,5,FALSE()),"N/A")</f>
        <v>0.354166666666667</v>
      </c>
      <c r="D32" s="7" t="str">
        <f aca="false">Cleaned_Feedback!C32</f>
        <v>General Medicine</v>
      </c>
      <c r="E32" s="7" t="n">
        <f aca="false">Cleaned_Feedback!D32</f>
        <v>4</v>
      </c>
      <c r="F32" s="7" t="str">
        <f aca="false">Cleaned_Feedback!E32</f>
        <v>Room cleanliness issue</v>
      </c>
      <c r="G32" s="7" t="n">
        <f aca="false">Cleaned_Feedback!F32</f>
        <v>45</v>
      </c>
      <c r="H32" s="7" t="str">
        <f aca="false">IF(ISNUMBER(E32),IF(E32&gt;=4,"High","Low"),"N/A")</f>
        <v>High</v>
      </c>
      <c r="I32" s="7" t="n">
        <f aca="false">IFERROR(HOUR(C32),"N/A")</f>
        <v>8</v>
      </c>
    </row>
    <row r="33" customFormat="false" ht="15" hidden="false" customHeight="true" outlineLevel="0" collapsed="false">
      <c r="A33" s="7" t="str">
        <f aca="false">Cleaned_Feedback!B33</f>
        <v>P92292</v>
      </c>
      <c r="B33" s="10" t="n">
        <f aca="false">IFERROR(VLOOKUP(A33,Cleaned_Appointment!$B:$G,4,FALSE()),"N/A")</f>
        <v>45384</v>
      </c>
      <c r="C33" s="11" t="n">
        <f aca="false">IFERROR(VLOOKUP(A33,Cleaned_Appointment!$B:$G,5,FALSE()),"N/A")</f>
        <v>0.729166666666667</v>
      </c>
      <c r="D33" s="7" t="str">
        <f aca="false">Cleaned_Feedback!C33</f>
        <v>Orthopedics</v>
      </c>
      <c r="E33" s="7" t="n">
        <f aca="false">Cleaned_Feedback!D33</f>
        <v>3</v>
      </c>
      <c r="F33" s="7" t="str">
        <f aca="false">Cleaned_Feedback!E33</f>
        <v>Needs improvement</v>
      </c>
      <c r="G33" s="7" t="n">
        <f aca="false">Cleaned_Feedback!F33</f>
        <v>45</v>
      </c>
      <c r="H33" s="7" t="str">
        <f aca="false">IF(ISNUMBER(E33),IF(E33&gt;=4,"High","Low"),"N/A")</f>
        <v>Low</v>
      </c>
      <c r="I33" s="7" t="n">
        <f aca="false">IFERROR(HOUR(C33),"N/A")</f>
        <v>17</v>
      </c>
    </row>
    <row r="34" customFormat="false" ht="15" hidden="false" customHeight="true" outlineLevel="0" collapsed="false">
      <c r="A34" s="7" t="str">
        <f aca="false">Cleaned_Feedback!B34</f>
        <v>P46858</v>
      </c>
      <c r="B34" s="10" t="n">
        <f aca="false">IFERROR(VLOOKUP(A34,Cleaned_Appointment!$B:$G,4,FALSE()),"N/A")</f>
        <v>45446</v>
      </c>
      <c r="C34" s="11" t="n">
        <f aca="false">IFERROR(VLOOKUP(A34,Cleaned_Appointment!$B:$G,5,FALSE()),"N/A")</f>
        <v>0.645833333333333</v>
      </c>
      <c r="D34" s="7" t="str">
        <f aca="false">Cleaned_Feedback!C34</f>
        <v>Oncology</v>
      </c>
      <c r="E34" s="7" t="n">
        <f aca="false">Cleaned_Feedback!D34</f>
        <v>5</v>
      </c>
      <c r="F34" s="7" t="str">
        <f aca="false">Cleaned_Feedback!E34</f>
        <v>Average</v>
      </c>
      <c r="G34" s="7" t="n">
        <f aca="false">Cleaned_Feedback!F34</f>
        <v>45</v>
      </c>
      <c r="H34" s="7" t="str">
        <f aca="false">IF(ISNUMBER(E34),IF(E34&gt;=4,"High","Low"),"N/A")</f>
        <v>High</v>
      </c>
      <c r="I34" s="7" t="n">
        <f aca="false">IFERROR(HOUR(C34),"N/A")</f>
        <v>15</v>
      </c>
    </row>
    <row r="35" customFormat="false" ht="15" hidden="false" customHeight="true" outlineLevel="0" collapsed="false">
      <c r="A35" s="7" t="str">
        <f aca="false">Cleaned_Feedback!B35</f>
        <v>P10337</v>
      </c>
      <c r="B35" s="10" t="n">
        <f aca="false">IFERROR(VLOOKUP(A35,Cleaned_Appointment!$B:$G,4,FALSE()),"N/A")</f>
        <v>45383</v>
      </c>
      <c r="C35" s="11" t="n">
        <f aca="false">IFERROR(VLOOKUP(A35,Cleaned_Appointment!$B:$G,5,FALSE()),"N/A")</f>
        <v>0.416666666666667</v>
      </c>
      <c r="D35" s="7" t="str">
        <f aca="false">Cleaned_Feedback!C35</f>
        <v>Neurology</v>
      </c>
      <c r="E35" s="7" t="n">
        <f aca="false">Cleaned_Feedback!D35</f>
        <v>9</v>
      </c>
      <c r="F35" s="7" t="str">
        <f aca="false">Cleaned_Feedback!E35</f>
        <v>Highly recommended</v>
      </c>
      <c r="G35" s="7" t="n">
        <f aca="false">Cleaned_Feedback!F35</f>
        <v>30</v>
      </c>
      <c r="H35" s="7" t="str">
        <f aca="false">IF(ISNUMBER(E35),IF(E35&gt;=4,"High","Low"),"N/A")</f>
        <v>High</v>
      </c>
      <c r="I35" s="7" t="n">
        <f aca="false">IFERROR(HOUR(C35),"N/A")</f>
        <v>10</v>
      </c>
    </row>
    <row r="36" customFormat="false" ht="15" hidden="false" customHeight="true" outlineLevel="0" collapsed="false">
      <c r="A36" s="7" t="str">
        <f aca="false">Cleaned_Feedback!B36</f>
        <v>P76416</v>
      </c>
      <c r="B36" s="10" t="n">
        <f aca="false">IFERROR(VLOOKUP(A36,Cleaned_Appointment!$B:$G,4,FALSE()),"N/A")</f>
        <v>45646</v>
      </c>
      <c r="C36" s="11" t="n">
        <f aca="false">IFERROR(VLOOKUP(A36,Cleaned_Appointment!$B:$G,5,FALSE()),"N/A")</f>
        <v>0.5625</v>
      </c>
      <c r="D36" s="7" t="str">
        <f aca="false">Cleaned_Feedback!C36</f>
        <v>Oncology</v>
      </c>
      <c r="E36" s="7" t="n">
        <f aca="false">Cleaned_Feedback!D36</f>
        <v>6</v>
      </c>
      <c r="F36" s="7" t="str">
        <f aca="false">Cleaned_Feedback!E36</f>
        <v>Very good</v>
      </c>
      <c r="G36" s="7" t="n">
        <f aca="false">Cleaned_Feedback!F36</f>
        <v>45</v>
      </c>
      <c r="H36" s="7" t="str">
        <f aca="false">IF(ISNUMBER(E36),IF(E36&gt;=4,"High","Low"),"N/A")</f>
        <v>High</v>
      </c>
      <c r="I36" s="7" t="n">
        <f aca="false">IFERROR(HOUR(C36),"N/A")</f>
        <v>13</v>
      </c>
    </row>
    <row r="37" customFormat="false" ht="15" hidden="false" customHeight="true" outlineLevel="0" collapsed="false">
      <c r="A37" s="7" t="str">
        <f aca="false">Cleaned_Feedback!B37</f>
        <v>P47558</v>
      </c>
      <c r="B37" s="10" t="n">
        <f aca="false">IFERROR(VLOOKUP(A37,Cleaned_Appointment!$B:$G,4,FALSE()),"N/A")</f>
        <v>45647</v>
      </c>
      <c r="C37" s="11" t="n">
        <f aca="false">IFERROR(VLOOKUP(A37,Cleaned_Appointment!$B:$G,5,FALSE()),"N/A")</f>
        <v>0.6875</v>
      </c>
      <c r="D37" s="7" t="str">
        <f aca="false">Cleaned_Feedback!C37</f>
        <v>Orthopedics</v>
      </c>
      <c r="E37" s="7" t="n">
        <f aca="false">Cleaned_Feedback!D37</f>
        <v>9</v>
      </c>
      <c r="F37" s="7" t="str">
        <f aca="false">Cleaned_Feedback!E37</f>
        <v>Amazing team</v>
      </c>
      <c r="G37" s="7" t="n">
        <f aca="false">Cleaned_Feedback!F37</f>
        <v>30</v>
      </c>
      <c r="H37" s="7" t="str">
        <f aca="false">IF(ISNUMBER(E37),IF(E37&gt;=4,"High","Low"),"N/A")</f>
        <v>High</v>
      </c>
      <c r="I37" s="7" t="n">
        <f aca="false">IFERROR(HOUR(C37),"N/A")</f>
        <v>16</v>
      </c>
    </row>
    <row r="38" customFormat="false" ht="15" hidden="false" customHeight="true" outlineLevel="0" collapsed="false">
      <c r="A38" s="7" t="str">
        <f aca="false">Cleaned_Feedback!B38</f>
        <v>P10851</v>
      </c>
      <c r="B38" s="10" t="n">
        <f aca="false">IFERROR(VLOOKUP(A38,Cleaned_Appointment!$B:$G,4,FALSE()),"N/A")</f>
        <v>45416</v>
      </c>
      <c r="C38" s="11" t="n">
        <f aca="false">IFERROR(VLOOKUP(A38,Cleaned_Appointment!$B:$G,5,FALSE()),"N/A")</f>
        <v>0.6875</v>
      </c>
      <c r="D38" s="7" t="str">
        <f aca="false">Cleaned_Feedback!C38</f>
        <v>General Medicine</v>
      </c>
      <c r="E38" s="7" t="n">
        <f aca="false">Cleaned_Feedback!D38</f>
        <v>7</v>
      </c>
      <c r="F38" s="7" t="str">
        <f aca="false">Cleaned_Feedback!E38</f>
        <v>Helpful staff</v>
      </c>
      <c r="G38" s="7" t="n">
        <f aca="false">Cleaned_Feedback!F38</f>
        <v>45</v>
      </c>
      <c r="H38" s="7" t="str">
        <f aca="false">IF(ISNUMBER(E38),IF(E38&gt;=4,"High","Low"),"N/A")</f>
        <v>High</v>
      </c>
      <c r="I38" s="7" t="n">
        <f aca="false">IFERROR(HOUR(C38),"N/A")</f>
        <v>16</v>
      </c>
    </row>
    <row r="39" customFormat="false" ht="15" hidden="false" customHeight="true" outlineLevel="0" collapsed="false">
      <c r="A39" s="7" t="str">
        <f aca="false">Cleaned_Feedback!B39</f>
        <v>P70960</v>
      </c>
      <c r="B39" s="10" t="n">
        <f aca="false">IFERROR(VLOOKUP(A39,Cleaned_Appointment!$B:$G,4,FALSE()),"N/A")</f>
        <v>45387</v>
      </c>
      <c r="C39" s="11" t="n">
        <f aca="false">IFERROR(VLOOKUP(A39,Cleaned_Appointment!$B:$G,5,FALSE()),"N/A")</f>
        <v>0.354166666666667</v>
      </c>
      <c r="D39" s="7" t="str">
        <f aca="false">Cleaned_Feedback!C39</f>
        <v>General Medicine</v>
      </c>
      <c r="E39" s="7" t="n">
        <f aca="false">Cleaned_Feedback!D39</f>
        <v>3</v>
      </c>
      <c r="F39" s="7" t="str">
        <f aca="false">Cleaned_Feedback!E39</f>
        <v>Long wait times</v>
      </c>
      <c r="G39" s="7" t="n">
        <f aca="false">Cleaned_Feedback!F39</f>
        <v>45</v>
      </c>
      <c r="H39" s="7" t="str">
        <f aca="false">IF(ISNUMBER(E39),IF(E39&gt;=4,"High","Low"),"N/A")</f>
        <v>Low</v>
      </c>
      <c r="I39" s="7" t="n">
        <f aca="false">IFERROR(HOUR(C39),"N/A")</f>
        <v>8</v>
      </c>
    </row>
    <row r="40" customFormat="false" ht="15" hidden="false" customHeight="true" outlineLevel="0" collapsed="false">
      <c r="A40" s="7" t="str">
        <f aca="false">Cleaned_Feedback!B40</f>
        <v>P15042</v>
      </c>
      <c r="B40" s="10" t="n">
        <f aca="false">IFERROR(VLOOKUP(A40,Cleaned_Appointment!$B:$G,4,FALSE()),"N/A")</f>
        <v>45367</v>
      </c>
      <c r="C40" s="11" t="n">
        <f aca="false">IFERROR(VLOOKUP(A40,Cleaned_Appointment!$B:$G,5,FALSE()),"N/A")</f>
        <v>0.729166666666667</v>
      </c>
      <c r="D40" s="7" t="str">
        <f aca="false">Cleaned_Feedback!C40</f>
        <v>General Medicine</v>
      </c>
      <c r="E40" s="7" t="n">
        <f aca="false">Cleaned_Feedback!D40</f>
        <v>5</v>
      </c>
      <c r="F40" s="7" t="str">
        <f aca="false">Cleaned_Feedback!E40</f>
        <v>Average</v>
      </c>
      <c r="G40" s="7" t="n">
        <f aca="false">Cleaned_Feedback!F40</f>
        <v>45</v>
      </c>
      <c r="H40" s="7" t="str">
        <f aca="false">IF(ISNUMBER(E40),IF(E40&gt;=4,"High","Low"),"N/A")</f>
        <v>High</v>
      </c>
      <c r="I40" s="7" t="n">
        <f aca="false">IFERROR(HOUR(C40),"N/A")</f>
        <v>17</v>
      </c>
    </row>
    <row r="41" customFormat="false" ht="15" hidden="false" customHeight="true" outlineLevel="0" collapsed="false">
      <c r="A41" s="7" t="str">
        <f aca="false">Cleaned_Feedback!B41</f>
        <v>P56742</v>
      </c>
      <c r="B41" s="10" t="n">
        <f aca="false">IFERROR(VLOOKUP(A41,Cleaned_Appointment!$B:$G,4,FALSE()),"N/A")</f>
        <v>45605</v>
      </c>
      <c r="C41" s="11" t="n">
        <f aca="false">IFERROR(VLOOKUP(A41,Cleaned_Appointment!$B:$G,5,FALSE()),"N/A")</f>
        <v>0.5625</v>
      </c>
      <c r="D41" s="7" t="str">
        <f aca="false">Cleaned_Feedback!C41</f>
        <v>Pediatric</v>
      </c>
      <c r="E41" s="7" t="n">
        <f aca="false">Cleaned_Feedback!D41</f>
        <v>9</v>
      </c>
      <c r="F41" s="7" t="str">
        <f aca="false">Cleaned_Feedback!E41</f>
        <v>Good service</v>
      </c>
      <c r="G41" s="7" t="n">
        <f aca="false">Cleaned_Feedback!F41</f>
        <v>30</v>
      </c>
      <c r="H41" s="7" t="str">
        <f aca="false">IF(ISNUMBER(E41),IF(E41&gt;=4,"High","Low"),"N/A")</f>
        <v>High</v>
      </c>
      <c r="I41" s="7" t="n">
        <f aca="false">IFERROR(HOUR(C41),"N/A")</f>
        <v>13</v>
      </c>
    </row>
    <row r="42" customFormat="false" ht="15" hidden="false" customHeight="true" outlineLevel="0" collapsed="false">
      <c r="A42" s="7" t="str">
        <f aca="false">Cleaned_Feedback!B42</f>
        <v>P30132</v>
      </c>
      <c r="B42" s="10" t="n">
        <f aca="false">IFERROR(VLOOKUP(A42,Cleaned_Appointment!$B:$G,4,FALSE()),"N/A")</f>
        <v>45378</v>
      </c>
      <c r="C42" s="11" t="n">
        <f aca="false">IFERROR(VLOOKUP(A42,Cleaned_Appointment!$B:$G,5,FALSE()),"N/A")</f>
        <v>0.708333333333333</v>
      </c>
      <c r="D42" s="7" t="str">
        <f aca="false">Cleaned_Feedback!C42</f>
        <v>Pediatric</v>
      </c>
      <c r="E42" s="7" t="n">
        <f aca="false">Cleaned_Feedback!D42</f>
        <v>9</v>
      </c>
      <c r="F42" s="7" t="str">
        <f aca="false">Cleaned_Feedback!E42</f>
        <v>Amazing team</v>
      </c>
      <c r="G42" s="7" t="n">
        <f aca="false">Cleaned_Feedback!F42</f>
        <v>30</v>
      </c>
      <c r="H42" s="7" t="str">
        <f aca="false">IF(ISNUMBER(E42),IF(E42&gt;=4,"High","Low"),"N/A")</f>
        <v>High</v>
      </c>
      <c r="I42" s="7" t="n">
        <f aca="false">IFERROR(HOUR(C42),"N/A")</f>
        <v>17</v>
      </c>
    </row>
    <row r="43" customFormat="false" ht="15" hidden="false" customHeight="true" outlineLevel="0" collapsed="false">
      <c r="A43" s="7" t="str">
        <f aca="false">Cleaned_Feedback!B43</f>
        <v>P43686</v>
      </c>
      <c r="B43" s="10" t="n">
        <f aca="false">IFERROR(VLOOKUP(A43,Cleaned_Appointment!$B:$G,4,FALSE()),"N/A")</f>
        <v>45506</v>
      </c>
      <c r="C43" s="11" t="n">
        <f aca="false">IFERROR(VLOOKUP(A43,Cleaned_Appointment!$B:$G,5,FALSE()),"N/A")</f>
        <v>0.520833333333333</v>
      </c>
      <c r="D43" s="7" t="str">
        <f aca="false">Cleaned_Feedback!C43</f>
        <v>Neurology</v>
      </c>
      <c r="E43" s="7" t="n">
        <f aca="false">Cleaned_Feedback!D43</f>
        <v>7</v>
      </c>
      <c r="F43" s="7" t="str">
        <f aca="false">Cleaned_Feedback!E43</f>
        <v>Helpful staff</v>
      </c>
      <c r="G43" s="7" t="n">
        <f aca="false">Cleaned_Feedback!F43</f>
        <v>45</v>
      </c>
      <c r="H43" s="7" t="str">
        <f aca="false">IF(ISNUMBER(E43),IF(E43&gt;=4,"High","Low"),"N/A")</f>
        <v>High</v>
      </c>
      <c r="I43" s="7" t="n">
        <f aca="false">IFERROR(HOUR(C43),"N/A")</f>
        <v>12</v>
      </c>
    </row>
    <row r="44" customFormat="false" ht="15" hidden="false" customHeight="true" outlineLevel="0" collapsed="false">
      <c r="A44" s="7" t="str">
        <f aca="false">Cleaned_Feedback!B44</f>
        <v>P43188</v>
      </c>
      <c r="B44" s="10" t="n">
        <f aca="false">IFERROR(VLOOKUP(A44,Cleaned_Appointment!$B:$G,4,FALSE()),"N/A")</f>
        <v>45507</v>
      </c>
      <c r="C44" s="11" t="n">
        <f aca="false">IFERROR(VLOOKUP(A44,Cleaned_Appointment!$B:$G,5,FALSE()),"N/A")</f>
        <v>0.770833333333333</v>
      </c>
      <c r="D44" s="7" t="str">
        <f aca="false">Cleaned_Feedback!C44</f>
        <v>Neurology</v>
      </c>
      <c r="E44" s="7" t="n">
        <f aca="false">Cleaned_Feedback!D44</f>
        <v>4</v>
      </c>
      <c r="F44" s="7" t="str">
        <f aca="false">Cleaned_Feedback!E44</f>
        <v>Delayed response</v>
      </c>
      <c r="G44" s="7" t="n">
        <f aca="false">Cleaned_Feedback!F44</f>
        <v>45</v>
      </c>
      <c r="H44" s="7" t="str">
        <f aca="false">IF(ISNUMBER(E44),IF(E44&gt;=4,"High","Low"),"N/A")</f>
        <v>High</v>
      </c>
      <c r="I44" s="7" t="n">
        <f aca="false">IFERROR(HOUR(C44),"N/A")</f>
        <v>18</v>
      </c>
    </row>
    <row r="45" customFormat="false" ht="15" hidden="false" customHeight="true" outlineLevel="0" collapsed="false">
      <c r="A45" s="7" t="str">
        <f aca="false">Cleaned_Feedback!B45</f>
        <v>P35517</v>
      </c>
      <c r="B45" s="10" t="n">
        <f aca="false">IFERROR(VLOOKUP(A45,Cleaned_Appointment!$B:$G,4,FALSE()),"N/A")</f>
        <v>45585</v>
      </c>
      <c r="C45" s="11" t="n">
        <f aca="false">IFERROR(VLOOKUP(A45,Cleaned_Appointment!$B:$G,5,FALSE()),"N/A")</f>
        <v>0.395833333333333</v>
      </c>
      <c r="D45" s="7" t="str">
        <f aca="false">Cleaned_Feedback!C45</f>
        <v>Cardiology</v>
      </c>
      <c r="E45" s="7" t="n">
        <f aca="false">Cleaned_Feedback!D45</f>
        <v>5</v>
      </c>
      <c r="F45" s="7" t="str">
        <f aca="false">Cleaned_Feedback!E45</f>
        <v>Average</v>
      </c>
      <c r="G45" s="7" t="n">
        <f aca="false">Cleaned_Feedback!F45</f>
        <v>45</v>
      </c>
      <c r="H45" s="7" t="str">
        <f aca="false">IF(ISNUMBER(E45),IF(E45&gt;=4,"High","Low"),"N/A")</f>
        <v>High</v>
      </c>
      <c r="I45" s="7" t="n">
        <f aca="false">IFERROR(HOUR(C45),"N/A")</f>
        <v>9</v>
      </c>
    </row>
    <row r="46" customFormat="false" ht="15" hidden="false" customHeight="true" outlineLevel="0" collapsed="false">
      <c r="A46" s="7" t="str">
        <f aca="false">Cleaned_Feedback!B46</f>
        <v>P87789</v>
      </c>
      <c r="B46" s="10" t="n">
        <f aca="false">IFERROR(VLOOKUP(A46,Cleaned_Appointment!$B:$G,4,FALSE()),"N/A")</f>
        <v>45313</v>
      </c>
      <c r="C46" s="11" t="n">
        <f aca="false">IFERROR(VLOOKUP(A46,Cleaned_Appointment!$B:$G,5,FALSE()),"N/A")</f>
        <v>0.666666666666667</v>
      </c>
      <c r="D46" s="7" t="str">
        <f aca="false">Cleaned_Feedback!C46</f>
        <v>Orthopedics</v>
      </c>
      <c r="E46" s="7" t="n">
        <f aca="false">Cleaned_Feedback!D46</f>
        <v>9</v>
      </c>
      <c r="F46" s="7" t="str">
        <f aca="false">Cleaned_Feedback!E46</f>
        <v>Highly recommended</v>
      </c>
      <c r="G46" s="7" t="n">
        <f aca="false">Cleaned_Feedback!F46</f>
        <v>30</v>
      </c>
      <c r="H46" s="7" t="str">
        <f aca="false">IF(ISNUMBER(E46),IF(E46&gt;=4,"High","Low"),"N/A")</f>
        <v>High</v>
      </c>
      <c r="I46" s="7" t="n">
        <f aca="false">IFERROR(HOUR(C46),"N/A")</f>
        <v>16</v>
      </c>
    </row>
    <row r="47" customFormat="false" ht="15" hidden="false" customHeight="true" outlineLevel="0" collapsed="false">
      <c r="A47" s="7" t="str">
        <f aca="false">Cleaned_Feedback!B47</f>
        <v>P76847</v>
      </c>
      <c r="B47" s="10" t="n">
        <f aca="false">IFERROR(VLOOKUP(A47,Cleaned_Appointment!$B:$G,4,FALSE()),"N/A")</f>
        <v>45347</v>
      </c>
      <c r="C47" s="11" t="n">
        <f aca="false">IFERROR(VLOOKUP(A47,Cleaned_Appointment!$B:$G,5,FALSE()),"N/A")</f>
        <v>0.395833333333333</v>
      </c>
      <c r="D47" s="7" t="str">
        <f aca="false">Cleaned_Feedback!C47</f>
        <v>Orthopedics</v>
      </c>
      <c r="E47" s="7" t="n">
        <f aca="false">Cleaned_Feedback!D47</f>
        <v>7</v>
      </c>
      <c r="F47" s="7" t="str">
        <f aca="false">Cleaned_Feedback!E47</f>
        <v>Child-friendly staff</v>
      </c>
      <c r="G47" s="7" t="n">
        <f aca="false">Cleaned_Feedback!F47</f>
        <v>45</v>
      </c>
      <c r="H47" s="7" t="str">
        <f aca="false">IF(ISNUMBER(E47),IF(E47&gt;=4,"High","Low"),"N/A")</f>
        <v>High</v>
      </c>
      <c r="I47" s="7" t="n">
        <f aca="false">IFERROR(HOUR(C47),"N/A")</f>
        <v>9</v>
      </c>
    </row>
    <row r="48" customFormat="false" ht="15" hidden="false" customHeight="true" outlineLevel="0" collapsed="false">
      <c r="A48" s="7" t="str">
        <f aca="false">Cleaned_Feedback!B48</f>
        <v>P97899</v>
      </c>
      <c r="B48" s="10" t="n">
        <f aca="false">IFERROR(VLOOKUP(A48,Cleaned_Appointment!$B:$G,4,FALSE()),"N/A")</f>
        <v>45466</v>
      </c>
      <c r="C48" s="11" t="n">
        <f aca="false">IFERROR(VLOOKUP(A48,Cleaned_Appointment!$B:$G,5,FALSE()),"N/A")</f>
        <v>0.416666666666667</v>
      </c>
      <c r="D48" s="7" t="str">
        <f aca="false">Cleaned_Feedback!C48</f>
        <v>Neurology</v>
      </c>
      <c r="E48" s="7" t="n">
        <f aca="false">Cleaned_Feedback!D48</f>
        <v>5</v>
      </c>
      <c r="F48" s="7" t="str">
        <f aca="false">Cleaned_Feedback!E48</f>
        <v>Average</v>
      </c>
      <c r="G48" s="7" t="n">
        <f aca="false">Cleaned_Feedback!F48</f>
        <v>45</v>
      </c>
      <c r="H48" s="7" t="str">
        <f aca="false">IF(ISNUMBER(E48),IF(E48&gt;=4,"High","Low"),"N/A")</f>
        <v>High</v>
      </c>
      <c r="I48" s="7" t="n">
        <f aca="false">IFERROR(HOUR(C48),"N/A")</f>
        <v>10</v>
      </c>
    </row>
    <row r="49" customFormat="false" ht="15" hidden="false" customHeight="true" outlineLevel="0" collapsed="false">
      <c r="A49" s="7" t="str">
        <f aca="false">Cleaned_Feedback!B49</f>
        <v>P67499</v>
      </c>
      <c r="B49" s="10" t="n">
        <f aca="false">IFERROR(VLOOKUP(A49,Cleaned_Appointment!$B:$G,4,FALSE()),"N/A")</f>
        <v>45350</v>
      </c>
      <c r="C49" s="11" t="n">
        <f aca="false">IFERROR(VLOOKUP(A49,Cleaned_Appointment!$B:$G,5,FALSE()),"N/A")</f>
        <v>0.770833333333333</v>
      </c>
      <c r="D49" s="7" t="str">
        <f aca="false">Cleaned_Feedback!C49</f>
        <v>N/A</v>
      </c>
      <c r="E49" s="7" t="n">
        <f aca="false">Cleaned_Feedback!D49</f>
        <v>6.27</v>
      </c>
      <c r="F49" s="7" t="str">
        <f aca="false">Cleaned_Feedback!E49</f>
        <v>Efficient process</v>
      </c>
      <c r="G49" s="7" t="n">
        <f aca="false">Cleaned_Feedback!F49</f>
        <v>45</v>
      </c>
      <c r="H49" s="7" t="str">
        <f aca="false">IF(ISNUMBER(E49),IF(E49&gt;=4,"High","Low"),"N/A")</f>
        <v>High</v>
      </c>
      <c r="I49" s="7" t="n">
        <f aca="false">IFERROR(HOUR(C49),"N/A")</f>
        <v>18</v>
      </c>
    </row>
    <row r="50" customFormat="false" ht="15" hidden="false" customHeight="true" outlineLevel="0" collapsed="false">
      <c r="A50" s="7" t="str">
        <f aca="false">Cleaned_Feedback!B50</f>
        <v>P22024</v>
      </c>
      <c r="B50" s="10" t="n">
        <f aca="false">IFERROR(VLOOKUP(A50,Cleaned_Appointment!$B:$G,4,FALSE()),"N/A")</f>
        <v>45590</v>
      </c>
      <c r="C50" s="11" t="n">
        <f aca="false">IFERROR(VLOOKUP(A50,Cleaned_Appointment!$B:$G,5,FALSE()),"N/A")</f>
        <v>0.75</v>
      </c>
      <c r="D50" s="7" t="str">
        <f aca="false">Cleaned_Feedback!C50</f>
        <v>Neurology</v>
      </c>
      <c r="E50" s="7" t="n">
        <f aca="false">Cleaned_Feedback!D50</f>
        <v>7</v>
      </c>
      <c r="F50" s="7" t="str">
        <f aca="false">Cleaned_Feedback!E50</f>
        <v>Child-friendly staff</v>
      </c>
      <c r="G50" s="7" t="n">
        <f aca="false">Cleaned_Feedback!F50</f>
        <v>45</v>
      </c>
      <c r="H50" s="7" t="str">
        <f aca="false">IF(ISNUMBER(E50),IF(E50&gt;=4,"High","Low"),"N/A")</f>
        <v>High</v>
      </c>
      <c r="I50" s="7" t="n">
        <f aca="false">IFERROR(HOUR(C50),"N/A")</f>
        <v>18</v>
      </c>
    </row>
    <row r="51" customFormat="false" ht="15" hidden="false" customHeight="true" outlineLevel="0" collapsed="false">
      <c r="A51" s="7" t="str">
        <f aca="false">Cleaned_Feedback!B51</f>
        <v>P61654</v>
      </c>
      <c r="B51" s="10" t="n">
        <f aca="false">IFERROR(VLOOKUP(A51,Cleaned_Appointment!$B:$G,4,FALSE()),"N/A")</f>
        <v>45324</v>
      </c>
      <c r="C51" s="11" t="n">
        <f aca="false">IFERROR(VLOOKUP(A51,Cleaned_Appointment!$B:$G,5,FALSE()),"N/A")</f>
        <v>0.395833333333333</v>
      </c>
      <c r="D51" s="7" t="str">
        <f aca="false">Cleaned_Feedback!C51</f>
        <v>Pediatric</v>
      </c>
      <c r="E51" s="7" t="n">
        <f aca="false">Cleaned_Feedback!D51</f>
        <v>4</v>
      </c>
      <c r="F51" s="7" t="str">
        <f aca="false">Cleaned_Feedback!E51</f>
        <v>Room cleanliness issue</v>
      </c>
      <c r="G51" s="7" t="n">
        <f aca="false">Cleaned_Feedback!F51</f>
        <v>45</v>
      </c>
      <c r="H51" s="7" t="str">
        <f aca="false">IF(ISNUMBER(E51),IF(E51&gt;=4,"High","Low"),"N/A")</f>
        <v>High</v>
      </c>
      <c r="I51" s="7" t="n">
        <f aca="false">IFERROR(HOUR(C51),"N/A")</f>
        <v>9</v>
      </c>
    </row>
    <row r="52" customFormat="false" ht="15" hidden="false" customHeight="true" outlineLevel="0" collapsed="false">
      <c r="A52" s="7" t="str">
        <f aca="false">Cleaned_Feedback!B52</f>
        <v>P25059</v>
      </c>
      <c r="B52" s="10" t="n">
        <f aca="false">IFERROR(VLOOKUP(A52,Cleaned_Appointment!$B:$G,4,FALSE()),"N/A")</f>
        <v>45630</v>
      </c>
      <c r="C52" s="11" t="n">
        <f aca="false">IFERROR(VLOOKUP(A52,Cleaned_Appointment!$B:$G,5,FALSE()),"N/A")</f>
        <v>0.458333333333333</v>
      </c>
      <c r="D52" s="7" t="str">
        <f aca="false">Cleaned_Feedback!C52</f>
        <v>Orthopedics</v>
      </c>
      <c r="E52" s="7" t="n">
        <f aca="false">Cleaned_Feedback!D52</f>
        <v>3</v>
      </c>
      <c r="F52" s="7" t="str">
        <f aca="false">Cleaned_Feedback!E52</f>
        <v>Needs improvement</v>
      </c>
      <c r="G52" s="7" t="n">
        <f aca="false">Cleaned_Feedback!F52</f>
        <v>45</v>
      </c>
      <c r="H52" s="7" t="str">
        <f aca="false">IF(ISNUMBER(E52),IF(E52&gt;=4,"High","Low"),"N/A")</f>
        <v>Low</v>
      </c>
      <c r="I52" s="7" t="n">
        <f aca="false">IFERROR(HOUR(C52),"N/A")</f>
        <v>11</v>
      </c>
    </row>
    <row r="53" customFormat="false" ht="15" hidden="false" customHeight="true" outlineLevel="0" collapsed="false">
      <c r="A53" s="7" t="str">
        <f aca="false">Cleaned_Feedback!B53</f>
        <v>P80104</v>
      </c>
      <c r="B53" s="10" t="n">
        <f aca="false">IFERROR(VLOOKUP(A53,Cleaned_Appointment!$B:$G,4,FALSE()),"N/A")</f>
        <v>45482</v>
      </c>
      <c r="C53" s="11" t="n">
        <f aca="false">IFERROR(VLOOKUP(A53,Cleaned_Appointment!$B:$G,5,FALSE()),"N/A")</f>
        <v>0.5</v>
      </c>
      <c r="D53" s="7" t="str">
        <f aca="false">Cleaned_Feedback!C53</f>
        <v>Cardiology</v>
      </c>
      <c r="E53" s="7" t="n">
        <f aca="false">Cleaned_Feedback!D53</f>
        <v>9</v>
      </c>
      <c r="F53" s="7" t="str">
        <f aca="false">Cleaned_Feedback!E53</f>
        <v>Excellent care</v>
      </c>
      <c r="G53" s="7" t="n">
        <f aca="false">Cleaned_Feedback!F53</f>
        <v>30</v>
      </c>
      <c r="H53" s="7" t="str">
        <f aca="false">IF(ISNUMBER(E53),IF(E53&gt;=4,"High","Low"),"N/A")</f>
        <v>High</v>
      </c>
      <c r="I53" s="7" t="n">
        <f aca="false">IFERROR(HOUR(C53),"N/A")</f>
        <v>12</v>
      </c>
    </row>
    <row r="54" customFormat="false" ht="15" hidden="false" customHeight="true" outlineLevel="0" collapsed="false">
      <c r="A54" s="7" t="str">
        <f aca="false">Cleaned_Feedback!B54</f>
        <v>P89217</v>
      </c>
      <c r="B54" s="10" t="n">
        <f aca="false">IFERROR(VLOOKUP(A54,Cleaned_Appointment!$B:$G,4,FALSE()),"N/A")</f>
        <v>45370</v>
      </c>
      <c r="C54" s="11" t="n">
        <f aca="false">IFERROR(VLOOKUP(A54,Cleaned_Appointment!$B:$G,5,FALSE()),"N/A")</f>
        <v>0.75</v>
      </c>
      <c r="D54" s="7" t="str">
        <f aca="false">Cleaned_Feedback!C54</f>
        <v>Cardiology</v>
      </c>
      <c r="E54" s="7" t="n">
        <f aca="false">Cleaned_Feedback!D54</f>
        <v>8</v>
      </c>
      <c r="F54" s="7" t="str">
        <f aca="false">Cleaned_Feedback!E54</f>
        <v>Efficient process</v>
      </c>
      <c r="G54" s="7" t="n">
        <f aca="false">Cleaned_Feedback!F54</f>
        <v>45</v>
      </c>
      <c r="H54" s="7" t="str">
        <f aca="false">IF(ISNUMBER(E54),IF(E54&gt;=4,"High","Low"),"N/A")</f>
        <v>High</v>
      </c>
      <c r="I54" s="7" t="n">
        <f aca="false">IFERROR(HOUR(C54),"N/A")</f>
        <v>18</v>
      </c>
    </row>
    <row r="55" customFormat="false" ht="15" hidden="false" customHeight="true" outlineLevel="0" collapsed="false">
      <c r="A55" s="7" t="str">
        <f aca="false">Cleaned_Feedback!B55</f>
        <v>P40896</v>
      </c>
      <c r="B55" s="10" t="n">
        <f aca="false">IFERROR(VLOOKUP(A55,Cleaned_Appointment!$B:$G,4,FALSE()),"N/A")</f>
        <v>45362</v>
      </c>
      <c r="C55" s="11" t="n">
        <f aca="false">IFERROR(VLOOKUP(A55,Cleaned_Appointment!$B:$G,5,FALSE()),"N/A")</f>
        <v>0.645833333333333</v>
      </c>
      <c r="D55" s="7" t="str">
        <f aca="false">Cleaned_Feedback!C55</f>
        <v>Cardiology</v>
      </c>
      <c r="E55" s="7" t="n">
        <f aca="false">Cleaned_Feedback!D55</f>
        <v>9</v>
      </c>
      <c r="F55" s="7" t="str">
        <f aca="false">Cleaned_Feedback!E55</f>
        <v>Amazing team</v>
      </c>
      <c r="G55" s="7" t="n">
        <f aca="false">Cleaned_Feedback!F55</f>
        <v>30</v>
      </c>
      <c r="H55" s="7" t="str">
        <f aca="false">IF(ISNUMBER(E55),IF(E55&gt;=4,"High","Low"),"N/A")</f>
        <v>High</v>
      </c>
      <c r="I55" s="7" t="n">
        <f aca="false">IFERROR(HOUR(C55),"N/A")</f>
        <v>15</v>
      </c>
    </row>
    <row r="56" customFormat="false" ht="15" hidden="false" customHeight="true" outlineLevel="0" collapsed="false">
      <c r="A56" s="7" t="str">
        <f aca="false">Cleaned_Feedback!B56</f>
        <v>P69830</v>
      </c>
      <c r="B56" s="10" t="n">
        <f aca="false">IFERROR(VLOOKUP(A56,Cleaned_Appointment!$B:$G,4,FALSE()),"N/A")</f>
        <v>45558</v>
      </c>
      <c r="C56" s="11" t="n">
        <f aca="false">IFERROR(VLOOKUP(A56,Cleaned_Appointment!$B:$G,5,FALSE()),"N/A")</f>
        <v>0.5</v>
      </c>
      <c r="D56" s="7" t="str">
        <f aca="false">Cleaned_Feedback!C56</f>
        <v>Neurology</v>
      </c>
      <c r="E56" s="7" t="n">
        <f aca="false">Cleaned_Feedback!D56</f>
        <v>4</v>
      </c>
      <c r="F56" s="7" t="str">
        <f aca="false">Cleaned_Feedback!E56</f>
        <v>Delayed response</v>
      </c>
      <c r="G56" s="7" t="n">
        <f aca="false">Cleaned_Feedback!F56</f>
        <v>45</v>
      </c>
      <c r="H56" s="7" t="str">
        <f aca="false">IF(ISNUMBER(E56),IF(E56&gt;=4,"High","Low"),"N/A")</f>
        <v>High</v>
      </c>
      <c r="I56" s="7" t="n">
        <f aca="false">IFERROR(HOUR(C56),"N/A")</f>
        <v>12</v>
      </c>
    </row>
    <row r="57" customFormat="false" ht="15" hidden="false" customHeight="true" outlineLevel="0" collapsed="false">
      <c r="A57" s="7" t="str">
        <f aca="false">Cleaned_Feedback!B57</f>
        <v>P93573</v>
      </c>
      <c r="B57" s="10" t="n">
        <f aca="false">IFERROR(VLOOKUP(A57,Cleaned_Appointment!$B:$G,4,FALSE()),"N/A")</f>
        <v>45556</v>
      </c>
      <c r="C57" s="11" t="n">
        <f aca="false">IFERROR(VLOOKUP(A57,Cleaned_Appointment!$B:$G,5,FALSE()),"N/A")</f>
        <v>0.6875</v>
      </c>
      <c r="D57" s="7" t="str">
        <f aca="false">Cleaned_Feedback!C57</f>
        <v>Oncology</v>
      </c>
      <c r="E57" s="7" t="n">
        <f aca="false">Cleaned_Feedback!D57</f>
        <v>4</v>
      </c>
      <c r="F57" s="7" t="str">
        <f aca="false">Cleaned_Feedback!E57</f>
        <v>Delayed response</v>
      </c>
      <c r="G57" s="7" t="n">
        <f aca="false">Cleaned_Feedback!F57</f>
        <v>45</v>
      </c>
      <c r="H57" s="7" t="str">
        <f aca="false">IF(ISNUMBER(E57),IF(E57&gt;=4,"High","Low"),"N/A")</f>
        <v>High</v>
      </c>
      <c r="I57" s="7" t="n">
        <f aca="false">IFERROR(HOUR(C57),"N/A")</f>
        <v>16</v>
      </c>
    </row>
    <row r="58" customFormat="false" ht="15" hidden="false" customHeight="true" outlineLevel="0" collapsed="false">
      <c r="A58" s="7" t="str">
        <f aca="false">Cleaned_Feedback!B58</f>
        <v>P27259</v>
      </c>
      <c r="B58" s="10" t="n">
        <f aca="false">IFERROR(VLOOKUP(A58,Cleaned_Appointment!$B:$G,4,FALSE()),"N/A")</f>
        <v>45551</v>
      </c>
      <c r="C58" s="11" t="n">
        <f aca="false">IFERROR(VLOOKUP(A58,Cleaned_Appointment!$B:$G,5,FALSE()),"N/A")</f>
        <v>0.645833333333333</v>
      </c>
      <c r="D58" s="7" t="str">
        <f aca="false">Cleaned_Feedback!C58</f>
        <v>Neurology</v>
      </c>
      <c r="E58" s="7" t="n">
        <f aca="false">Cleaned_Feedback!D58</f>
        <v>3</v>
      </c>
      <c r="F58" s="7" t="str">
        <f aca="false">Cleaned_Feedback!E58</f>
        <v>Long wait times</v>
      </c>
      <c r="G58" s="7" t="n">
        <f aca="false">Cleaned_Feedback!F58</f>
        <v>45</v>
      </c>
      <c r="H58" s="7" t="str">
        <f aca="false">IF(ISNUMBER(E58),IF(E58&gt;=4,"High","Low"),"N/A")</f>
        <v>Low</v>
      </c>
      <c r="I58" s="7" t="n">
        <f aca="false">IFERROR(HOUR(C58),"N/A")</f>
        <v>15</v>
      </c>
    </row>
    <row r="59" customFormat="false" ht="15" hidden="false" customHeight="true" outlineLevel="0" collapsed="false">
      <c r="A59" s="7" t="str">
        <f aca="false">Cleaned_Feedback!B59</f>
        <v>P11866</v>
      </c>
      <c r="B59" s="10" t="n">
        <f aca="false">IFERROR(VLOOKUP(A59,Cleaned_Appointment!$B:$G,4,FALSE()),"N/A")</f>
        <v>45585</v>
      </c>
      <c r="C59" s="11" t="n">
        <f aca="false">IFERROR(VLOOKUP(A59,Cleaned_Appointment!$B:$G,5,FALSE()),"N/A")</f>
        <v>0.75</v>
      </c>
      <c r="D59" s="7" t="str">
        <f aca="false">Cleaned_Feedback!C59</f>
        <v>General Medicine</v>
      </c>
      <c r="E59" s="7" t="n">
        <f aca="false">Cleaned_Feedback!D59</f>
        <v>3</v>
      </c>
      <c r="F59" s="7" t="str">
        <f aca="false">Cleaned_Feedback!E59</f>
        <v>Needs improvement</v>
      </c>
      <c r="G59" s="7" t="n">
        <f aca="false">Cleaned_Feedback!F59</f>
        <v>45</v>
      </c>
      <c r="H59" s="7" t="str">
        <f aca="false">IF(ISNUMBER(E59),IF(E59&gt;=4,"High","Low"),"N/A")</f>
        <v>Low</v>
      </c>
      <c r="I59" s="7" t="n">
        <f aca="false">IFERROR(HOUR(C59),"N/A")</f>
        <v>18</v>
      </c>
    </row>
    <row r="60" customFormat="false" ht="15" hidden="false" customHeight="true" outlineLevel="0" collapsed="false">
      <c r="A60" s="7" t="str">
        <f aca="false">Cleaned_Feedback!B60</f>
        <v>P82148</v>
      </c>
      <c r="B60" s="10" t="n">
        <f aca="false">IFERROR(VLOOKUP(A60,Cleaned_Appointment!$B:$G,4,FALSE()),"N/A")</f>
        <v>45517</v>
      </c>
      <c r="C60" s="11" t="n">
        <f aca="false">IFERROR(VLOOKUP(A60,Cleaned_Appointment!$B:$G,5,FALSE()),"N/A")</f>
        <v>0.75</v>
      </c>
      <c r="D60" s="7" t="str">
        <f aca="false">Cleaned_Feedback!C60</f>
        <v>Oncology</v>
      </c>
      <c r="E60" s="7" t="n">
        <f aca="false">Cleaned_Feedback!D60</f>
        <v>9</v>
      </c>
      <c r="F60" s="7" t="str">
        <f aca="false">Cleaned_Feedback!E60</f>
        <v>Good service</v>
      </c>
      <c r="G60" s="7" t="n">
        <f aca="false">Cleaned_Feedback!F60</f>
        <v>30</v>
      </c>
      <c r="H60" s="7" t="str">
        <f aca="false">IF(ISNUMBER(E60),IF(E60&gt;=4,"High","Low"),"N/A")</f>
        <v>High</v>
      </c>
      <c r="I60" s="7" t="n">
        <f aca="false">IFERROR(HOUR(C60),"N/A")</f>
        <v>18</v>
      </c>
    </row>
    <row r="61" customFormat="false" ht="15" hidden="false" customHeight="true" outlineLevel="0" collapsed="false">
      <c r="A61" s="7" t="str">
        <f aca="false">Cleaned_Feedback!B61</f>
        <v>P96356</v>
      </c>
      <c r="B61" s="10" t="n">
        <f aca="false">IFERROR(VLOOKUP(A61,Cleaned_Appointment!$B:$G,4,FALSE()),"N/A")</f>
        <v>45623</v>
      </c>
      <c r="C61" s="11" t="n">
        <f aca="false">IFERROR(VLOOKUP(A61,Cleaned_Appointment!$B:$G,5,FALSE()),"N/A")</f>
        <v>0.375</v>
      </c>
      <c r="D61" s="7" t="str">
        <f aca="false">Cleaned_Feedback!C61</f>
        <v>Neurology</v>
      </c>
      <c r="E61" s="7" t="n">
        <f aca="false">Cleaned_Feedback!D61</f>
        <v>9</v>
      </c>
      <c r="F61" s="7" t="str">
        <f aca="false">Cleaned_Feedback!E61</f>
        <v>Amazing team</v>
      </c>
      <c r="G61" s="7" t="n">
        <f aca="false">Cleaned_Feedback!F61</f>
        <v>30</v>
      </c>
      <c r="H61" s="7" t="str">
        <f aca="false">IF(ISNUMBER(E61),IF(E61&gt;=4,"High","Low"),"N/A")</f>
        <v>High</v>
      </c>
      <c r="I61" s="7" t="n">
        <f aca="false">IFERROR(HOUR(C61),"N/A")</f>
        <v>9</v>
      </c>
    </row>
    <row r="62" customFormat="false" ht="15" hidden="false" customHeight="true" outlineLevel="0" collapsed="false">
      <c r="A62" s="7" t="str">
        <f aca="false">Cleaned_Feedback!B62</f>
        <v>P95475</v>
      </c>
      <c r="B62" s="10" t="n">
        <f aca="false">IFERROR(VLOOKUP(A62,Cleaned_Appointment!$B:$G,4,FALSE()),"N/A")</f>
        <v>45298</v>
      </c>
      <c r="C62" s="11" t="n">
        <f aca="false">IFERROR(VLOOKUP(A62,Cleaned_Appointment!$B:$G,5,FALSE()),"N/A")</f>
        <v>0.666666666666667</v>
      </c>
      <c r="D62" s="7" t="str">
        <f aca="false">Cleaned_Feedback!C62</f>
        <v>Neurology</v>
      </c>
      <c r="E62" s="7" t="n">
        <f aca="false">Cleaned_Feedback!D62</f>
        <v>6</v>
      </c>
      <c r="F62" s="7" t="str">
        <f aca="false">Cleaned_Feedback!E62</f>
        <v>Very good</v>
      </c>
      <c r="G62" s="7" t="n">
        <f aca="false">Cleaned_Feedback!F62</f>
        <v>45</v>
      </c>
      <c r="H62" s="7" t="str">
        <f aca="false">IF(ISNUMBER(E62),IF(E62&gt;=4,"High","Low"),"N/A")</f>
        <v>High</v>
      </c>
      <c r="I62" s="7" t="n">
        <f aca="false">IFERROR(HOUR(C62),"N/A")</f>
        <v>16</v>
      </c>
    </row>
    <row r="63" customFormat="false" ht="15" hidden="false" customHeight="true" outlineLevel="0" collapsed="false">
      <c r="A63" s="7" t="str">
        <f aca="false">Cleaned_Feedback!B63</f>
        <v>P24760</v>
      </c>
      <c r="B63" s="10" t="n">
        <f aca="false">IFERROR(VLOOKUP(A63,Cleaned_Appointment!$B:$G,4,FALSE()),"N/A")</f>
        <v>45350</v>
      </c>
      <c r="C63" s="11" t="n">
        <f aca="false">IFERROR(VLOOKUP(A63,Cleaned_Appointment!$B:$G,5,FALSE()),"N/A")</f>
        <v>0.479166666666667</v>
      </c>
      <c r="D63" s="7" t="str">
        <f aca="false">Cleaned_Feedback!C63</f>
        <v>Oncology</v>
      </c>
      <c r="E63" s="7" t="n">
        <f aca="false">Cleaned_Feedback!D63</f>
        <v>9</v>
      </c>
      <c r="F63" s="7" t="str">
        <f aca="false">Cleaned_Feedback!E63</f>
        <v>Amazing team</v>
      </c>
      <c r="G63" s="7" t="n">
        <f aca="false">Cleaned_Feedback!F63</f>
        <v>30</v>
      </c>
      <c r="H63" s="7" t="str">
        <f aca="false">IF(ISNUMBER(E63),IF(E63&gt;=4,"High","Low"),"N/A")</f>
        <v>High</v>
      </c>
      <c r="I63" s="7" t="n">
        <f aca="false">IFERROR(HOUR(C63),"N/A")</f>
        <v>11</v>
      </c>
    </row>
    <row r="64" customFormat="false" ht="15" hidden="false" customHeight="true" outlineLevel="0" collapsed="false">
      <c r="A64" s="7" t="str">
        <f aca="false">Cleaned_Feedback!B64</f>
        <v>P94013</v>
      </c>
      <c r="B64" s="10" t="n">
        <f aca="false">IFERROR(VLOOKUP(A64,Cleaned_Appointment!$B:$G,4,FALSE()),"N/A")</f>
        <v>45545</v>
      </c>
      <c r="C64" s="11" t="n">
        <f aca="false">IFERROR(VLOOKUP(A64,Cleaned_Appointment!$B:$G,5,FALSE()),"N/A")</f>
        <v>0.729166666666667</v>
      </c>
      <c r="D64" s="7" t="str">
        <f aca="false">Cleaned_Feedback!C64</f>
        <v>Cardiology</v>
      </c>
      <c r="E64" s="7" t="n">
        <f aca="false">Cleaned_Feedback!D64</f>
        <v>5</v>
      </c>
      <c r="F64" s="7" t="str">
        <f aca="false">Cleaned_Feedback!E64</f>
        <v>Average</v>
      </c>
      <c r="G64" s="7" t="n">
        <f aca="false">Cleaned_Feedback!F64</f>
        <v>45</v>
      </c>
      <c r="H64" s="7" t="str">
        <f aca="false">IF(ISNUMBER(E64),IF(E64&gt;=4,"High","Low"),"N/A")</f>
        <v>High</v>
      </c>
      <c r="I64" s="7" t="n">
        <f aca="false">IFERROR(HOUR(C64),"N/A")</f>
        <v>17</v>
      </c>
    </row>
    <row r="65" customFormat="false" ht="15" hidden="false" customHeight="true" outlineLevel="0" collapsed="false">
      <c r="A65" s="7" t="str">
        <f aca="false">Cleaned_Feedback!B65</f>
        <v>P28262</v>
      </c>
      <c r="B65" s="10" t="n">
        <f aca="false">IFERROR(VLOOKUP(A65,Cleaned_Appointment!$B:$G,4,FALSE()),"N/A")</f>
        <v>45648</v>
      </c>
      <c r="C65" s="11" t="n">
        <f aca="false">IFERROR(VLOOKUP(A65,Cleaned_Appointment!$B:$G,5,FALSE()),"N/A")</f>
        <v>0.458333333333333</v>
      </c>
      <c r="D65" s="7" t="str">
        <f aca="false">Cleaned_Feedback!C65</f>
        <v>Neurology</v>
      </c>
      <c r="E65" s="7" t="n">
        <f aca="false">Cleaned_Feedback!D65</f>
        <v>7</v>
      </c>
      <c r="F65" s="7" t="str">
        <f aca="false">Cleaned_Feedback!E65</f>
        <v>Satisfactory</v>
      </c>
      <c r="G65" s="7" t="n">
        <f aca="false">Cleaned_Feedback!F65</f>
        <v>45</v>
      </c>
      <c r="H65" s="7" t="str">
        <f aca="false">IF(ISNUMBER(E65),IF(E65&gt;=4,"High","Low"),"N/A")</f>
        <v>High</v>
      </c>
      <c r="I65" s="7" t="n">
        <f aca="false">IFERROR(HOUR(C65),"N/A")</f>
        <v>11</v>
      </c>
    </row>
    <row r="66" customFormat="false" ht="15" hidden="false" customHeight="true" outlineLevel="0" collapsed="false">
      <c r="A66" s="7" t="str">
        <f aca="false">Cleaned_Feedback!B66</f>
        <v>P27012</v>
      </c>
      <c r="B66" s="10" t="n">
        <f aca="false">IFERROR(VLOOKUP(A66,Cleaned_Appointment!$B:$G,4,FALSE()),"N/A")</f>
        <v>45307</v>
      </c>
      <c r="C66" s="11" t="n">
        <f aca="false">IFERROR(VLOOKUP(A66,Cleaned_Appointment!$B:$G,5,FALSE()),"N/A")</f>
        <v>0.770833333333333</v>
      </c>
      <c r="D66" s="7" t="str">
        <f aca="false">Cleaned_Feedback!C66</f>
        <v>General Medicine</v>
      </c>
      <c r="E66" s="7" t="n">
        <f aca="false">Cleaned_Feedback!D66</f>
        <v>8</v>
      </c>
      <c r="F66" s="7" t="str">
        <f aca="false">Cleaned_Feedback!E66</f>
        <v>Great doctors</v>
      </c>
      <c r="G66" s="7" t="n">
        <f aca="false">Cleaned_Feedback!F66</f>
        <v>45</v>
      </c>
      <c r="H66" s="7" t="str">
        <f aca="false">IF(ISNUMBER(E66),IF(E66&gt;=4,"High","Low"),"N/A")</f>
        <v>High</v>
      </c>
      <c r="I66" s="7" t="n">
        <f aca="false">IFERROR(HOUR(C66),"N/A")</f>
        <v>18</v>
      </c>
    </row>
    <row r="67" customFormat="false" ht="15" hidden="false" customHeight="true" outlineLevel="0" collapsed="false">
      <c r="A67" s="7" t="str">
        <f aca="false">Cleaned_Feedback!B67</f>
        <v>P16262</v>
      </c>
      <c r="B67" s="10" t="n">
        <f aca="false">IFERROR(VLOOKUP(A67,Cleaned_Appointment!$B:$G,4,FALSE()),"N/A")</f>
        <v>45545</v>
      </c>
      <c r="C67" s="11" t="n">
        <f aca="false">IFERROR(VLOOKUP(A67,Cleaned_Appointment!$B:$G,5,FALSE()),"N/A")</f>
        <v>0.541666666666667</v>
      </c>
      <c r="D67" s="7" t="str">
        <f aca="false">Cleaned_Feedback!C67</f>
        <v>Oncology</v>
      </c>
      <c r="E67" s="7" t="n">
        <f aca="false">Cleaned_Feedback!D67</f>
        <v>9</v>
      </c>
      <c r="F67" s="7" t="str">
        <f aca="false">Cleaned_Feedback!E67</f>
        <v>Amazing team</v>
      </c>
      <c r="G67" s="7" t="n">
        <f aca="false">Cleaned_Feedback!F67</f>
        <v>30</v>
      </c>
      <c r="H67" s="7" t="str">
        <f aca="false">IF(ISNUMBER(E67),IF(E67&gt;=4,"High","Low"),"N/A")</f>
        <v>High</v>
      </c>
      <c r="I67" s="7" t="n">
        <f aca="false">IFERROR(HOUR(C67),"N/A")</f>
        <v>13</v>
      </c>
    </row>
    <row r="68" customFormat="false" ht="15" hidden="false" customHeight="true" outlineLevel="0" collapsed="false">
      <c r="A68" s="7" t="str">
        <f aca="false">Cleaned_Feedback!B68</f>
        <v>P42600</v>
      </c>
      <c r="B68" s="10" t="n">
        <f aca="false">IFERROR(VLOOKUP(A68,Cleaned_Appointment!$B:$G,4,FALSE()),"N/A")</f>
        <v>45617</v>
      </c>
      <c r="C68" s="11" t="n">
        <f aca="false">IFERROR(VLOOKUP(A68,Cleaned_Appointment!$B:$G,5,FALSE()),"N/A")</f>
        <v>0.6875</v>
      </c>
      <c r="D68" s="7" t="str">
        <f aca="false">Cleaned_Feedback!C68</f>
        <v>General Medicine</v>
      </c>
      <c r="E68" s="7" t="n">
        <f aca="false">Cleaned_Feedback!D68</f>
        <v>3</v>
      </c>
      <c r="F68" s="7" t="str">
        <f aca="false">Cleaned_Feedback!E68</f>
        <v>Long wait times</v>
      </c>
      <c r="G68" s="7" t="n">
        <f aca="false">Cleaned_Feedback!F68</f>
        <v>45</v>
      </c>
      <c r="H68" s="7" t="str">
        <f aca="false">IF(ISNUMBER(E68),IF(E68&gt;=4,"High","Low"),"N/A")</f>
        <v>Low</v>
      </c>
      <c r="I68" s="7" t="n">
        <f aca="false">IFERROR(HOUR(C68),"N/A")</f>
        <v>16</v>
      </c>
    </row>
    <row r="69" customFormat="false" ht="15" hidden="false" customHeight="true" outlineLevel="0" collapsed="false">
      <c r="A69" s="7" t="str">
        <f aca="false">Cleaned_Feedback!B69</f>
        <v>P59519</v>
      </c>
      <c r="B69" s="10" t="n">
        <f aca="false">IFERROR(VLOOKUP(A69,Cleaned_Appointment!$B:$G,4,FALSE()),"N/A")</f>
        <v>45387</v>
      </c>
      <c r="C69" s="11" t="n">
        <f aca="false">IFERROR(VLOOKUP(A69,Cleaned_Appointment!$B:$G,5,FALSE()),"N/A")</f>
        <v>0.5</v>
      </c>
      <c r="D69" s="7" t="str">
        <f aca="false">Cleaned_Feedback!C69</f>
        <v>Oncology</v>
      </c>
      <c r="E69" s="7" t="n">
        <f aca="false">Cleaned_Feedback!D69</f>
        <v>8</v>
      </c>
      <c r="F69" s="7" t="str">
        <f aca="false">Cleaned_Feedback!E69</f>
        <v>Efficient process</v>
      </c>
      <c r="G69" s="7" t="n">
        <f aca="false">Cleaned_Feedback!F69</f>
        <v>45</v>
      </c>
      <c r="H69" s="7" t="str">
        <f aca="false">IF(ISNUMBER(E69),IF(E69&gt;=4,"High","Low"),"N/A")</f>
        <v>High</v>
      </c>
      <c r="I69" s="7" t="n">
        <f aca="false">IFERROR(HOUR(C69),"N/A")</f>
        <v>12</v>
      </c>
    </row>
    <row r="70" customFormat="false" ht="15" hidden="false" customHeight="true" outlineLevel="0" collapsed="false">
      <c r="A70" s="7" t="str">
        <f aca="false">Cleaned_Feedback!B70</f>
        <v>P87869</v>
      </c>
      <c r="B70" s="10" t="n">
        <f aca="false">IFERROR(VLOOKUP(A70,Cleaned_Appointment!$B:$G,4,FALSE()),"N/A")</f>
        <v>45485</v>
      </c>
      <c r="C70" s="11" t="n">
        <f aca="false">IFERROR(VLOOKUP(A70,Cleaned_Appointment!$B:$G,5,FALSE()),"N/A")</f>
        <v>0.708333333333333</v>
      </c>
      <c r="D70" s="7" t="str">
        <f aca="false">Cleaned_Feedback!C70</f>
        <v>General Medicine</v>
      </c>
      <c r="E70" s="7" t="n">
        <f aca="false">Cleaned_Feedback!D70</f>
        <v>9</v>
      </c>
      <c r="F70" s="7" t="str">
        <f aca="false">Cleaned_Feedback!E70</f>
        <v>Highly recommended</v>
      </c>
      <c r="G70" s="7" t="n">
        <f aca="false">Cleaned_Feedback!F70</f>
        <v>30</v>
      </c>
      <c r="H70" s="7" t="str">
        <f aca="false">IF(ISNUMBER(E70),IF(E70&gt;=4,"High","Low"),"N/A")</f>
        <v>High</v>
      </c>
      <c r="I70" s="7" t="n">
        <f aca="false">IFERROR(HOUR(C70),"N/A")</f>
        <v>17</v>
      </c>
    </row>
    <row r="71" customFormat="false" ht="15" hidden="false" customHeight="true" outlineLevel="0" collapsed="false">
      <c r="A71" s="7" t="str">
        <f aca="false">Cleaned_Feedback!B71</f>
        <v>P63392</v>
      </c>
      <c r="B71" s="10" t="n">
        <f aca="false">IFERROR(VLOOKUP(A71,Cleaned_Appointment!$B:$G,4,FALSE()),"N/A")</f>
        <v>45324</v>
      </c>
      <c r="C71" s="11" t="n">
        <f aca="false">IFERROR(VLOOKUP(A71,Cleaned_Appointment!$B:$G,5,FALSE()),"N/A")</f>
        <v>0.625</v>
      </c>
      <c r="D71" s="7" t="str">
        <f aca="false">Cleaned_Feedback!C71</f>
        <v>Cardiology</v>
      </c>
      <c r="E71" s="7" t="n">
        <f aca="false">Cleaned_Feedback!D71</f>
        <v>9</v>
      </c>
      <c r="F71" s="7" t="str">
        <f aca="false">Cleaned_Feedback!E71</f>
        <v>Amazing team</v>
      </c>
      <c r="G71" s="7" t="n">
        <f aca="false">Cleaned_Feedback!F71</f>
        <v>30</v>
      </c>
      <c r="H71" s="7" t="str">
        <f aca="false">IF(ISNUMBER(E71),IF(E71&gt;=4,"High","Low"),"N/A")</f>
        <v>High</v>
      </c>
      <c r="I71" s="7" t="n">
        <f aca="false">IFERROR(HOUR(C71),"N/A")</f>
        <v>15</v>
      </c>
    </row>
    <row r="72" customFormat="false" ht="15" hidden="false" customHeight="true" outlineLevel="0" collapsed="false">
      <c r="A72" s="7" t="str">
        <f aca="false">Cleaned_Feedback!B72</f>
        <v>P77563</v>
      </c>
      <c r="B72" s="10" t="n">
        <f aca="false">IFERROR(VLOOKUP(A72,Cleaned_Appointment!$B:$G,4,FALSE()),"N/A")</f>
        <v>45457</v>
      </c>
      <c r="C72" s="11" t="n">
        <f aca="false">IFERROR(VLOOKUP(A72,Cleaned_Appointment!$B:$G,5,FALSE()),"N/A")</f>
        <v>0.333333333333333</v>
      </c>
      <c r="D72" s="7" t="str">
        <f aca="false">Cleaned_Feedback!C72</f>
        <v>Neurology</v>
      </c>
      <c r="E72" s="7" t="n">
        <f aca="false">Cleaned_Feedback!D72</f>
        <v>9</v>
      </c>
      <c r="F72" s="7" t="str">
        <f aca="false">Cleaned_Feedback!E72</f>
        <v>Good service</v>
      </c>
      <c r="G72" s="7" t="n">
        <f aca="false">Cleaned_Feedback!F72</f>
        <v>30</v>
      </c>
      <c r="H72" s="7" t="str">
        <f aca="false">IF(ISNUMBER(E72),IF(E72&gt;=4,"High","Low"),"N/A")</f>
        <v>High</v>
      </c>
      <c r="I72" s="7" t="n">
        <f aca="false">IFERROR(HOUR(C72),"N/A")</f>
        <v>8</v>
      </c>
    </row>
    <row r="73" customFormat="false" ht="15" hidden="false" customHeight="true" outlineLevel="0" collapsed="false">
      <c r="A73" s="7" t="str">
        <f aca="false">Cleaned_Feedback!B73</f>
        <v>P29377</v>
      </c>
      <c r="B73" s="10" t="n">
        <f aca="false">IFERROR(VLOOKUP(A73,Cleaned_Appointment!$B:$G,4,FALSE()),"N/A")</f>
        <v>45407</v>
      </c>
      <c r="C73" s="11" t="n">
        <f aca="false">IFERROR(VLOOKUP(A73,Cleaned_Appointment!$B:$G,5,FALSE()),"N/A")</f>
        <v>0.75</v>
      </c>
      <c r="D73" s="7" t="str">
        <f aca="false">Cleaned_Feedback!C73</f>
        <v>Orthopedics</v>
      </c>
      <c r="E73" s="7" t="n">
        <f aca="false">Cleaned_Feedback!D73</f>
        <v>8</v>
      </c>
      <c r="F73" s="7" t="str">
        <f aca="false">Cleaned_Feedback!E73</f>
        <v>Efficient process</v>
      </c>
      <c r="G73" s="7" t="n">
        <f aca="false">Cleaned_Feedback!F73</f>
        <v>45</v>
      </c>
      <c r="H73" s="7" t="str">
        <f aca="false">IF(ISNUMBER(E73),IF(E73&gt;=4,"High","Low"),"N/A")</f>
        <v>High</v>
      </c>
      <c r="I73" s="7" t="n">
        <f aca="false">IFERROR(HOUR(C73),"N/A")</f>
        <v>18</v>
      </c>
    </row>
    <row r="74" customFormat="false" ht="15" hidden="false" customHeight="true" outlineLevel="0" collapsed="false">
      <c r="A74" s="7" t="str">
        <f aca="false">Cleaned_Feedback!B74</f>
        <v>P68223</v>
      </c>
      <c r="B74" s="10" t="n">
        <f aca="false">IFERROR(VLOOKUP(A74,Cleaned_Appointment!$B:$G,4,FALSE()),"N/A")</f>
        <v>45416</v>
      </c>
      <c r="C74" s="11" t="n">
        <f aca="false">IFERROR(VLOOKUP(A74,Cleaned_Appointment!$B:$G,5,FALSE()),"N/A")</f>
        <v>0.479166666666667</v>
      </c>
      <c r="D74" s="7" t="str">
        <f aca="false">Cleaned_Feedback!C74</f>
        <v>Neurology</v>
      </c>
      <c r="E74" s="7" t="n">
        <f aca="false">Cleaned_Feedback!D74</f>
        <v>8</v>
      </c>
      <c r="F74" s="7" t="str">
        <f aca="false">Cleaned_Feedback!E74</f>
        <v>Efficient process</v>
      </c>
      <c r="G74" s="7" t="n">
        <f aca="false">Cleaned_Feedback!F74</f>
        <v>45</v>
      </c>
      <c r="H74" s="7" t="str">
        <f aca="false">IF(ISNUMBER(E74),IF(E74&gt;=4,"High","Low"),"N/A")</f>
        <v>High</v>
      </c>
      <c r="I74" s="7" t="n">
        <f aca="false">IFERROR(HOUR(C74),"N/A")</f>
        <v>11</v>
      </c>
    </row>
    <row r="75" customFormat="false" ht="15" hidden="false" customHeight="true" outlineLevel="0" collapsed="false">
      <c r="A75" s="7" t="str">
        <f aca="false">Cleaned_Feedback!B75</f>
        <v>P55949</v>
      </c>
      <c r="B75" s="10" t="n">
        <f aca="false">IFERROR(VLOOKUP(A75,Cleaned_Appointment!$B:$G,4,FALSE()),"N/A")</f>
        <v>45493</v>
      </c>
      <c r="C75" s="11" t="n">
        <f aca="false">IFERROR(VLOOKUP(A75,Cleaned_Appointment!$B:$G,5,FALSE()),"N/A")</f>
        <v>0.770833333333333</v>
      </c>
      <c r="D75" s="7" t="str">
        <f aca="false">Cleaned_Feedback!C75</f>
        <v>Pediatric</v>
      </c>
      <c r="E75" s="7" t="n">
        <f aca="false">Cleaned_Feedback!D75</f>
        <v>9</v>
      </c>
      <c r="F75" s="7" t="str">
        <f aca="false">Cleaned_Feedback!E75</f>
        <v>Excellent care</v>
      </c>
      <c r="G75" s="7" t="n">
        <f aca="false">Cleaned_Feedback!F75</f>
        <v>30</v>
      </c>
      <c r="H75" s="7" t="str">
        <f aca="false">IF(ISNUMBER(E75),IF(E75&gt;=4,"High","Low"),"N/A")</f>
        <v>High</v>
      </c>
      <c r="I75" s="7" t="n">
        <f aca="false">IFERROR(HOUR(C75),"N/A")</f>
        <v>18</v>
      </c>
    </row>
    <row r="76" customFormat="false" ht="15" hidden="false" customHeight="true" outlineLevel="0" collapsed="false">
      <c r="A76" s="7" t="str">
        <f aca="false">Cleaned_Feedback!B76</f>
        <v>P23588</v>
      </c>
      <c r="B76" s="10" t="n">
        <f aca="false">IFERROR(VLOOKUP(A76,Cleaned_Appointment!$B:$G,4,FALSE()),"N/A")</f>
        <v>45392</v>
      </c>
      <c r="C76" s="11" t="n">
        <f aca="false">IFERROR(VLOOKUP(A76,Cleaned_Appointment!$B:$G,5,FALSE()),"N/A")</f>
        <v>0.333333333333333</v>
      </c>
      <c r="D76" s="7" t="str">
        <f aca="false">Cleaned_Feedback!C76</f>
        <v>Cardiology</v>
      </c>
      <c r="E76" s="7" t="n">
        <f aca="false">Cleaned_Feedback!D76</f>
        <v>8</v>
      </c>
      <c r="F76" s="7" t="str">
        <f aca="false">Cleaned_Feedback!E76</f>
        <v>Efficient process</v>
      </c>
      <c r="G76" s="7" t="n">
        <f aca="false">Cleaned_Feedback!F76</f>
        <v>45</v>
      </c>
      <c r="H76" s="7" t="str">
        <f aca="false">IF(ISNUMBER(E76),IF(E76&gt;=4,"High","Low"),"N/A")</f>
        <v>High</v>
      </c>
      <c r="I76" s="7" t="n">
        <f aca="false">IFERROR(HOUR(C76),"N/A")</f>
        <v>8</v>
      </c>
    </row>
    <row r="77" customFormat="false" ht="15" hidden="false" customHeight="true" outlineLevel="0" collapsed="false">
      <c r="A77" s="7" t="str">
        <f aca="false">Cleaned_Feedback!B77</f>
        <v>P73075</v>
      </c>
      <c r="B77" s="10" t="n">
        <f aca="false">IFERROR(VLOOKUP(A77,Cleaned_Appointment!$B:$G,4,FALSE()),"N/A")</f>
        <v>45382</v>
      </c>
      <c r="C77" s="11" t="n">
        <f aca="false">IFERROR(VLOOKUP(A77,Cleaned_Appointment!$B:$G,5,FALSE()),"N/A")</f>
        <v>0.375</v>
      </c>
      <c r="D77" s="7" t="str">
        <f aca="false">Cleaned_Feedback!C77</f>
        <v>Oncology</v>
      </c>
      <c r="E77" s="7" t="n">
        <f aca="false">Cleaned_Feedback!D77</f>
        <v>4</v>
      </c>
      <c r="F77" s="7" t="str">
        <f aca="false">Cleaned_Feedback!E77</f>
        <v>Delayed response</v>
      </c>
      <c r="G77" s="7" t="n">
        <f aca="false">Cleaned_Feedback!F77</f>
        <v>45</v>
      </c>
      <c r="H77" s="7" t="str">
        <f aca="false">IF(ISNUMBER(E77),IF(E77&gt;=4,"High","Low"),"N/A")</f>
        <v>High</v>
      </c>
      <c r="I77" s="7" t="n">
        <f aca="false">IFERROR(HOUR(C77),"N/A")</f>
        <v>9</v>
      </c>
    </row>
    <row r="78" customFormat="false" ht="15" hidden="false" customHeight="true" outlineLevel="0" collapsed="false">
      <c r="A78" s="7" t="str">
        <f aca="false">Cleaned_Feedback!B78</f>
        <v>P82492</v>
      </c>
      <c r="B78" s="10" t="n">
        <f aca="false">IFERROR(VLOOKUP(A78,Cleaned_Appointment!$B:$G,4,FALSE()),"N/A")</f>
        <v>45651</v>
      </c>
      <c r="C78" s="11" t="n">
        <f aca="false">IFERROR(VLOOKUP(A78,Cleaned_Appointment!$B:$G,5,FALSE()),"N/A")</f>
        <v>0.5</v>
      </c>
      <c r="D78" s="7" t="str">
        <f aca="false">Cleaned_Feedback!C78</f>
        <v>Neurology</v>
      </c>
      <c r="E78" s="7" t="n">
        <f aca="false">Cleaned_Feedback!D78</f>
        <v>6</v>
      </c>
      <c r="F78" s="7" t="str">
        <f aca="false">Cleaned_Feedback!E78</f>
        <v>Very good</v>
      </c>
      <c r="G78" s="7" t="n">
        <f aca="false">Cleaned_Feedback!F78</f>
        <v>45</v>
      </c>
      <c r="H78" s="7" t="str">
        <f aca="false">IF(ISNUMBER(E78),IF(E78&gt;=4,"High","Low"),"N/A")</f>
        <v>High</v>
      </c>
      <c r="I78" s="7" t="n">
        <f aca="false">IFERROR(HOUR(C78),"N/A")</f>
        <v>12</v>
      </c>
    </row>
    <row r="79" customFormat="false" ht="15" hidden="false" customHeight="true" outlineLevel="0" collapsed="false">
      <c r="A79" s="7" t="str">
        <f aca="false">Cleaned_Feedback!B79</f>
        <v>P77493</v>
      </c>
      <c r="B79" s="10" t="n">
        <f aca="false">IFERROR(VLOOKUP(A79,Cleaned_Appointment!$B:$G,4,FALSE()),"N/A")</f>
        <v>45464</v>
      </c>
      <c r="C79" s="11" t="n">
        <f aca="false">IFERROR(VLOOKUP(A79,Cleaned_Appointment!$B:$G,5,FALSE()),"N/A")</f>
        <v>0.625</v>
      </c>
      <c r="D79" s="7" t="str">
        <f aca="false">Cleaned_Feedback!C79</f>
        <v>Orthopedics</v>
      </c>
      <c r="E79" s="7" t="n">
        <f aca="false">Cleaned_Feedback!D79</f>
        <v>8</v>
      </c>
      <c r="F79" s="7" t="str">
        <f aca="false">Cleaned_Feedback!E79</f>
        <v>Efficient process</v>
      </c>
      <c r="G79" s="7" t="n">
        <f aca="false">Cleaned_Feedback!F79</f>
        <v>45</v>
      </c>
      <c r="H79" s="7" t="str">
        <f aca="false">IF(ISNUMBER(E79),IF(E79&gt;=4,"High","Low"),"N/A")</f>
        <v>High</v>
      </c>
      <c r="I79" s="7" t="n">
        <f aca="false">IFERROR(HOUR(C79),"N/A")</f>
        <v>15</v>
      </c>
    </row>
    <row r="80" customFormat="false" ht="15" hidden="false" customHeight="true" outlineLevel="0" collapsed="false">
      <c r="A80" s="7" t="str">
        <f aca="false">Cleaned_Feedback!B80</f>
        <v>P59755</v>
      </c>
      <c r="B80" s="10" t="n">
        <f aca="false">IFERROR(VLOOKUP(A80,Cleaned_Appointment!$B:$G,4,FALSE()),"N/A")</f>
        <v>45645</v>
      </c>
      <c r="C80" s="11" t="n">
        <f aca="false">IFERROR(VLOOKUP(A80,Cleaned_Appointment!$B:$G,5,FALSE()),"N/A")</f>
        <v>0.375</v>
      </c>
      <c r="D80" s="7" t="str">
        <f aca="false">Cleaned_Feedback!C80</f>
        <v>General Medicine</v>
      </c>
      <c r="E80" s="7" t="n">
        <f aca="false">Cleaned_Feedback!D80</f>
        <v>4</v>
      </c>
      <c r="F80" s="7" t="str">
        <f aca="false">Cleaned_Feedback!E80</f>
        <v>Delayed response</v>
      </c>
      <c r="G80" s="7" t="n">
        <f aca="false">Cleaned_Feedback!F80</f>
        <v>45</v>
      </c>
      <c r="H80" s="7" t="str">
        <f aca="false">IF(ISNUMBER(E80),IF(E80&gt;=4,"High","Low"),"N/A")</f>
        <v>High</v>
      </c>
      <c r="I80" s="7" t="n">
        <f aca="false">IFERROR(HOUR(C80),"N/A")</f>
        <v>9</v>
      </c>
    </row>
    <row r="81" customFormat="false" ht="15" hidden="false" customHeight="true" outlineLevel="0" collapsed="false">
      <c r="A81" s="7" t="str">
        <f aca="false">Cleaned_Feedback!B81</f>
        <v>P71033</v>
      </c>
      <c r="B81" s="10" t="n">
        <f aca="false">IFERROR(VLOOKUP(A81,Cleaned_Appointment!$B:$G,4,FALSE()),"N/A")</f>
        <v>45614</v>
      </c>
      <c r="C81" s="11" t="n">
        <f aca="false">IFERROR(VLOOKUP(A81,Cleaned_Appointment!$B:$G,5,FALSE()),"N/A")</f>
        <v>0.666666666666667</v>
      </c>
      <c r="D81" s="7" t="str">
        <f aca="false">Cleaned_Feedback!C81</f>
        <v>Oncology</v>
      </c>
      <c r="E81" s="7" t="n">
        <f aca="false">Cleaned_Feedback!D81</f>
        <v>3</v>
      </c>
      <c r="F81" s="7" t="str">
        <f aca="false">Cleaned_Feedback!E81</f>
        <v>Long wait times</v>
      </c>
      <c r="G81" s="7" t="n">
        <f aca="false">Cleaned_Feedback!F81</f>
        <v>45</v>
      </c>
      <c r="H81" s="7" t="str">
        <f aca="false">IF(ISNUMBER(E81),IF(E81&gt;=4,"High","Low"),"N/A")</f>
        <v>Low</v>
      </c>
      <c r="I81" s="7" t="n">
        <f aca="false">IFERROR(HOUR(C81),"N/A")</f>
        <v>16</v>
      </c>
    </row>
    <row r="82" customFormat="false" ht="15" hidden="false" customHeight="true" outlineLevel="0" collapsed="false">
      <c r="A82" s="7" t="str">
        <f aca="false">Cleaned_Feedback!B82</f>
        <v>P66658</v>
      </c>
      <c r="B82" s="10" t="n">
        <f aca="false">IFERROR(VLOOKUP(A82,Cleaned_Appointment!$B:$G,4,FALSE()),"N/A")</f>
        <v>45634</v>
      </c>
      <c r="C82" s="11" t="n">
        <f aca="false">IFERROR(VLOOKUP(A82,Cleaned_Appointment!$B:$G,5,FALSE()),"N/A")</f>
        <v>0.604166666666667</v>
      </c>
      <c r="D82" s="7" t="str">
        <f aca="false">Cleaned_Feedback!C82</f>
        <v>Cardiology</v>
      </c>
      <c r="E82" s="7" t="n">
        <f aca="false">Cleaned_Feedback!D82</f>
        <v>7</v>
      </c>
      <c r="F82" s="7" t="str">
        <f aca="false">Cleaned_Feedback!E82</f>
        <v>Satisfactory</v>
      </c>
      <c r="G82" s="7" t="n">
        <f aca="false">Cleaned_Feedback!F82</f>
        <v>45</v>
      </c>
      <c r="H82" s="7" t="str">
        <f aca="false">IF(ISNUMBER(E82),IF(E82&gt;=4,"High","Low"),"N/A")</f>
        <v>High</v>
      </c>
      <c r="I82" s="7" t="n">
        <f aca="false">IFERROR(HOUR(C82),"N/A")</f>
        <v>14</v>
      </c>
    </row>
    <row r="83" customFormat="false" ht="15" hidden="false" customHeight="true" outlineLevel="0" collapsed="false">
      <c r="A83" s="7" t="str">
        <f aca="false">Cleaned_Feedback!B83</f>
        <v>P76574</v>
      </c>
      <c r="B83" s="10" t="n">
        <f aca="false">IFERROR(VLOOKUP(A83,Cleaned_Appointment!$B:$G,4,FALSE()),"N/A")</f>
        <v>45440</v>
      </c>
      <c r="C83" s="11" t="n">
        <f aca="false">IFERROR(VLOOKUP(A83,Cleaned_Appointment!$B:$G,5,FALSE()),"N/A")</f>
        <v>0.6875</v>
      </c>
      <c r="D83" s="7" t="str">
        <f aca="false">Cleaned_Feedback!C83</f>
        <v>Cardiology</v>
      </c>
      <c r="E83" s="7" t="n">
        <f aca="false">Cleaned_Feedback!D83</f>
        <v>4</v>
      </c>
      <c r="F83" s="7" t="str">
        <f aca="false">Cleaned_Feedback!E83</f>
        <v>Room cleanliness issue</v>
      </c>
      <c r="G83" s="7" t="n">
        <f aca="false">Cleaned_Feedback!F83</f>
        <v>45</v>
      </c>
      <c r="H83" s="7" t="str">
        <f aca="false">IF(ISNUMBER(E83),IF(E83&gt;=4,"High","Low"),"N/A")</f>
        <v>High</v>
      </c>
      <c r="I83" s="7" t="n">
        <f aca="false">IFERROR(HOUR(C83),"N/A")</f>
        <v>16</v>
      </c>
    </row>
    <row r="84" customFormat="false" ht="15" hidden="false" customHeight="true" outlineLevel="0" collapsed="false">
      <c r="A84" s="7" t="str">
        <f aca="false">Cleaned_Feedback!B84</f>
        <v>P34541</v>
      </c>
      <c r="B84" s="10" t="n">
        <f aca="false">IFERROR(VLOOKUP(A84,Cleaned_Appointment!$B:$G,4,FALSE()),"N/A")</f>
        <v>45307</v>
      </c>
      <c r="C84" s="11" t="n">
        <f aca="false">IFERROR(VLOOKUP(A84,Cleaned_Appointment!$B:$G,5,FALSE()),"N/A")</f>
        <v>0.6875</v>
      </c>
      <c r="D84" s="7" t="str">
        <f aca="false">Cleaned_Feedback!C84</f>
        <v>Oncology</v>
      </c>
      <c r="E84" s="7" t="n">
        <f aca="false">Cleaned_Feedback!D84</f>
        <v>9</v>
      </c>
      <c r="F84" s="7" t="str">
        <f aca="false">Cleaned_Feedback!E84</f>
        <v>Highly recommended</v>
      </c>
      <c r="G84" s="7" t="n">
        <f aca="false">Cleaned_Feedback!F84</f>
        <v>30</v>
      </c>
      <c r="H84" s="7" t="str">
        <f aca="false">IF(ISNUMBER(E84),IF(E84&gt;=4,"High","Low"),"N/A")</f>
        <v>High</v>
      </c>
      <c r="I84" s="7" t="n">
        <f aca="false">IFERROR(HOUR(C84),"N/A")</f>
        <v>16</v>
      </c>
    </row>
    <row r="85" customFormat="false" ht="15" hidden="false" customHeight="true" outlineLevel="0" collapsed="false">
      <c r="A85" s="7" t="str">
        <f aca="false">Cleaned_Feedback!B85</f>
        <v>P22316</v>
      </c>
      <c r="B85" s="10" t="n">
        <f aca="false">IFERROR(VLOOKUP(A85,Cleaned_Appointment!$B:$G,4,FALSE()),"N/A")</f>
        <v>45504</v>
      </c>
      <c r="C85" s="11" t="n">
        <f aca="false">IFERROR(VLOOKUP(A85,Cleaned_Appointment!$B:$G,5,FALSE()),"N/A")</f>
        <v>0.583333333333333</v>
      </c>
      <c r="D85" s="7" t="str">
        <f aca="false">Cleaned_Feedback!C85</f>
        <v>Oncology</v>
      </c>
      <c r="E85" s="7" t="n">
        <f aca="false">Cleaned_Feedback!D85</f>
        <v>9</v>
      </c>
      <c r="F85" s="7" t="str">
        <f aca="false">Cleaned_Feedback!E85</f>
        <v>Excellent care</v>
      </c>
      <c r="G85" s="7" t="n">
        <f aca="false">Cleaned_Feedback!F85</f>
        <v>30</v>
      </c>
      <c r="H85" s="7" t="str">
        <f aca="false">IF(ISNUMBER(E85),IF(E85&gt;=4,"High","Low"),"N/A")</f>
        <v>High</v>
      </c>
      <c r="I85" s="7" t="n">
        <f aca="false">IFERROR(HOUR(C85),"N/A")</f>
        <v>14</v>
      </c>
    </row>
    <row r="86" customFormat="false" ht="15" hidden="false" customHeight="true" outlineLevel="0" collapsed="false">
      <c r="A86" s="7" t="str">
        <f aca="false">Cleaned_Feedback!B86</f>
        <v>P28861</v>
      </c>
      <c r="B86" s="10" t="n">
        <f aca="false">IFERROR(VLOOKUP(A86,Cleaned_Appointment!$B:$G,4,FALSE()),"N/A")</f>
        <v>45523</v>
      </c>
      <c r="C86" s="11" t="n">
        <f aca="false">IFERROR(VLOOKUP(A86,Cleaned_Appointment!$B:$G,5,FALSE()),"N/A")</f>
        <v>0.333333333333333</v>
      </c>
      <c r="D86" s="7" t="str">
        <f aca="false">Cleaned_Feedback!C86</f>
        <v>Pediatric</v>
      </c>
      <c r="E86" s="7" t="n">
        <f aca="false">Cleaned_Feedback!D86</f>
        <v>9</v>
      </c>
      <c r="F86" s="7" t="str">
        <f aca="false">Cleaned_Feedback!E86</f>
        <v>Highly recommended</v>
      </c>
      <c r="G86" s="7" t="n">
        <f aca="false">Cleaned_Feedback!F86</f>
        <v>30</v>
      </c>
      <c r="H86" s="7" t="str">
        <f aca="false">IF(ISNUMBER(E86),IF(E86&gt;=4,"High","Low"),"N/A")</f>
        <v>High</v>
      </c>
      <c r="I86" s="7" t="n">
        <f aca="false">IFERROR(HOUR(C86),"N/A")</f>
        <v>8</v>
      </c>
    </row>
    <row r="87" customFormat="false" ht="15" hidden="false" customHeight="true" outlineLevel="0" collapsed="false">
      <c r="A87" s="7" t="str">
        <f aca="false">Cleaned_Feedback!B87</f>
        <v>P11217</v>
      </c>
      <c r="B87" s="10" t="n">
        <f aca="false">IFERROR(VLOOKUP(A87,Cleaned_Appointment!$B:$G,4,FALSE()),"N/A")</f>
        <v>45534</v>
      </c>
      <c r="C87" s="11" t="n">
        <f aca="false">IFERROR(VLOOKUP(A87,Cleaned_Appointment!$B:$G,5,FALSE()),"N/A")</f>
        <v>0.729166666666667</v>
      </c>
      <c r="D87" s="7" t="str">
        <f aca="false">Cleaned_Feedback!C87</f>
        <v>Cardiology</v>
      </c>
      <c r="E87" s="7" t="n">
        <f aca="false">Cleaned_Feedback!D87</f>
        <v>8</v>
      </c>
      <c r="F87" s="7" t="str">
        <f aca="false">Cleaned_Feedback!E87</f>
        <v>Efficient process</v>
      </c>
      <c r="G87" s="7" t="n">
        <f aca="false">Cleaned_Feedback!F87</f>
        <v>45</v>
      </c>
      <c r="H87" s="7" t="str">
        <f aca="false">IF(ISNUMBER(E87),IF(E87&gt;=4,"High","Low"),"N/A")</f>
        <v>High</v>
      </c>
      <c r="I87" s="7" t="n">
        <f aca="false">IFERROR(HOUR(C87),"N/A")</f>
        <v>17</v>
      </c>
    </row>
    <row r="88" customFormat="false" ht="15" hidden="false" customHeight="true" outlineLevel="0" collapsed="false">
      <c r="A88" s="7" t="str">
        <f aca="false">Cleaned_Feedback!B88</f>
        <v>P56741</v>
      </c>
      <c r="B88" s="10" t="n">
        <f aca="false">IFERROR(VLOOKUP(A88,Cleaned_Appointment!$B:$G,4,FALSE()),"N/A")</f>
        <v>45386</v>
      </c>
      <c r="C88" s="11" t="n">
        <f aca="false">IFERROR(VLOOKUP(A88,Cleaned_Appointment!$B:$G,5,FALSE()),"N/A")</f>
        <v>0.729166666666667</v>
      </c>
      <c r="D88" s="7" t="str">
        <f aca="false">Cleaned_Feedback!C88</f>
        <v>Oncology</v>
      </c>
      <c r="E88" s="7" t="n">
        <f aca="false">Cleaned_Feedback!D88</f>
        <v>7</v>
      </c>
      <c r="F88" s="7" t="str">
        <f aca="false">Cleaned_Feedback!E88</f>
        <v>Child-friendly staff</v>
      </c>
      <c r="G88" s="7" t="n">
        <f aca="false">Cleaned_Feedback!F88</f>
        <v>45</v>
      </c>
      <c r="H88" s="7" t="str">
        <f aca="false">IF(ISNUMBER(E88),IF(E88&gt;=4,"High","Low"),"N/A")</f>
        <v>High</v>
      </c>
      <c r="I88" s="7" t="n">
        <f aca="false">IFERROR(HOUR(C88),"N/A")</f>
        <v>17</v>
      </c>
    </row>
    <row r="89" customFormat="false" ht="15" hidden="false" customHeight="true" outlineLevel="0" collapsed="false">
      <c r="A89" s="7" t="str">
        <f aca="false">Cleaned_Feedback!B89</f>
        <v>P19592</v>
      </c>
      <c r="B89" s="10" t="n">
        <f aca="false">IFERROR(VLOOKUP(A89,Cleaned_Appointment!$B:$G,4,FALSE()),"N/A")</f>
        <v>45386</v>
      </c>
      <c r="C89" s="11" t="n">
        <f aca="false">IFERROR(VLOOKUP(A89,Cleaned_Appointment!$B:$G,5,FALSE()),"N/A")</f>
        <v>0.708333333333333</v>
      </c>
      <c r="D89" s="7" t="str">
        <f aca="false">Cleaned_Feedback!C89</f>
        <v>Pediatric</v>
      </c>
      <c r="E89" s="7" t="n">
        <f aca="false">Cleaned_Feedback!D89</f>
        <v>8</v>
      </c>
      <c r="F89" s="7" t="str">
        <f aca="false">Cleaned_Feedback!E89</f>
        <v>Great doctors</v>
      </c>
      <c r="G89" s="7" t="n">
        <f aca="false">Cleaned_Feedback!F89</f>
        <v>45</v>
      </c>
      <c r="H89" s="7" t="str">
        <f aca="false">IF(ISNUMBER(E89),IF(E89&gt;=4,"High","Low"),"N/A")</f>
        <v>High</v>
      </c>
      <c r="I89" s="7" t="n">
        <f aca="false">IFERROR(HOUR(C89),"N/A")</f>
        <v>17</v>
      </c>
    </row>
    <row r="90" customFormat="false" ht="15" hidden="false" customHeight="true" outlineLevel="0" collapsed="false">
      <c r="A90" s="7" t="str">
        <f aca="false">Cleaned_Feedback!B90</f>
        <v>P94928</v>
      </c>
      <c r="B90" s="10" t="n">
        <f aca="false">IFERROR(VLOOKUP(A90,Cleaned_Appointment!$B:$G,4,FALSE()),"N/A")</f>
        <v>45468</v>
      </c>
      <c r="C90" s="11" t="n">
        <f aca="false">IFERROR(VLOOKUP(A90,Cleaned_Appointment!$B:$G,5,FALSE()),"N/A")</f>
        <v>0.625</v>
      </c>
      <c r="D90" s="7" t="str">
        <f aca="false">Cleaned_Feedback!C90</f>
        <v>Orthopedics</v>
      </c>
      <c r="E90" s="7" t="n">
        <f aca="false">Cleaned_Feedback!D90</f>
        <v>7</v>
      </c>
      <c r="F90" s="7" t="str">
        <f aca="false">Cleaned_Feedback!E90</f>
        <v>Satisfactory</v>
      </c>
      <c r="G90" s="7" t="n">
        <f aca="false">Cleaned_Feedback!F90</f>
        <v>45</v>
      </c>
      <c r="H90" s="7" t="str">
        <f aca="false">IF(ISNUMBER(E90),IF(E90&gt;=4,"High","Low"),"N/A")</f>
        <v>High</v>
      </c>
      <c r="I90" s="7" t="n">
        <f aca="false">IFERROR(HOUR(C90),"N/A")</f>
        <v>15</v>
      </c>
    </row>
    <row r="91" customFormat="false" ht="15" hidden="false" customHeight="true" outlineLevel="0" collapsed="false">
      <c r="A91" s="7" t="str">
        <f aca="false">Cleaned_Feedback!B91</f>
        <v>P73844</v>
      </c>
      <c r="B91" s="10" t="n">
        <f aca="false">IFERROR(VLOOKUP(A91,Cleaned_Appointment!$B:$G,4,FALSE()),"N/A")</f>
        <v>45390</v>
      </c>
      <c r="C91" s="11" t="n">
        <f aca="false">IFERROR(VLOOKUP(A91,Cleaned_Appointment!$B:$G,5,FALSE()),"N/A")</f>
        <v>0.708333333333333</v>
      </c>
      <c r="D91" s="7" t="str">
        <f aca="false">Cleaned_Feedback!C91</f>
        <v>Orthopedics</v>
      </c>
      <c r="E91" s="7" t="n">
        <f aca="false">Cleaned_Feedback!D91</f>
        <v>4</v>
      </c>
      <c r="F91" s="7" t="str">
        <f aca="false">Cleaned_Feedback!E91</f>
        <v>Room cleanliness issue</v>
      </c>
      <c r="G91" s="7" t="n">
        <f aca="false">Cleaned_Feedback!F91</f>
        <v>45</v>
      </c>
      <c r="H91" s="7" t="str">
        <f aca="false">IF(ISNUMBER(E91),IF(E91&gt;=4,"High","Low"),"N/A")</f>
        <v>High</v>
      </c>
      <c r="I91" s="7" t="n">
        <f aca="false">IFERROR(HOUR(C91),"N/A")</f>
        <v>17</v>
      </c>
    </row>
    <row r="92" customFormat="false" ht="15" hidden="false" customHeight="true" outlineLevel="0" collapsed="false">
      <c r="A92" s="7" t="str">
        <f aca="false">Cleaned_Feedback!B92</f>
        <v>P50711</v>
      </c>
      <c r="B92" s="10" t="n">
        <f aca="false">IFERROR(VLOOKUP(A92,Cleaned_Appointment!$B:$G,4,FALSE()),"N/A")</f>
        <v>45654</v>
      </c>
      <c r="C92" s="11" t="n">
        <f aca="false">IFERROR(VLOOKUP(A92,Cleaned_Appointment!$B:$G,5,FALSE()),"N/A")</f>
        <v>0.583333333333333</v>
      </c>
      <c r="D92" s="7" t="str">
        <f aca="false">Cleaned_Feedback!C92</f>
        <v>General Medicine</v>
      </c>
      <c r="E92" s="7" t="n">
        <f aca="false">Cleaned_Feedback!D92</f>
        <v>8</v>
      </c>
      <c r="F92" s="7" t="str">
        <f aca="false">Cleaned_Feedback!E92</f>
        <v>Efficient process</v>
      </c>
      <c r="G92" s="7" t="n">
        <f aca="false">Cleaned_Feedback!F92</f>
        <v>45</v>
      </c>
      <c r="H92" s="7" t="str">
        <f aca="false">IF(ISNUMBER(E92),IF(E92&gt;=4,"High","Low"),"N/A")</f>
        <v>High</v>
      </c>
      <c r="I92" s="7" t="n">
        <f aca="false">IFERROR(HOUR(C92),"N/A")</f>
        <v>14</v>
      </c>
    </row>
    <row r="93" customFormat="false" ht="15" hidden="false" customHeight="true" outlineLevel="0" collapsed="false">
      <c r="A93" s="7" t="str">
        <f aca="false">Cleaned_Feedback!B93</f>
        <v>P30920</v>
      </c>
      <c r="B93" s="10" t="n">
        <f aca="false">IFERROR(VLOOKUP(A93,Cleaned_Appointment!$B:$G,4,FALSE()),"N/A")</f>
        <v>45454</v>
      </c>
      <c r="C93" s="11" t="n">
        <f aca="false">IFERROR(VLOOKUP(A93,Cleaned_Appointment!$B:$G,5,FALSE()),"N/A")</f>
        <v>0.458333333333333</v>
      </c>
      <c r="D93" s="7" t="str">
        <f aca="false">Cleaned_Feedback!C93</f>
        <v>Pediatric</v>
      </c>
      <c r="E93" s="7" t="n">
        <f aca="false">Cleaned_Feedback!D93</f>
        <v>7</v>
      </c>
      <c r="F93" s="7" t="str">
        <f aca="false">Cleaned_Feedback!E93</f>
        <v>Satisfactory</v>
      </c>
      <c r="G93" s="7" t="n">
        <f aca="false">Cleaned_Feedback!F93</f>
        <v>45</v>
      </c>
      <c r="H93" s="7" t="str">
        <f aca="false">IF(ISNUMBER(E93),IF(E93&gt;=4,"High","Low"),"N/A")</f>
        <v>High</v>
      </c>
      <c r="I93" s="7" t="n">
        <f aca="false">IFERROR(HOUR(C93),"N/A")</f>
        <v>11</v>
      </c>
    </row>
    <row r="94" customFormat="false" ht="15" hidden="false" customHeight="true" outlineLevel="0" collapsed="false">
      <c r="A94" s="7" t="str">
        <f aca="false">Cleaned_Feedback!B94</f>
        <v>P26650</v>
      </c>
      <c r="B94" s="10" t="n">
        <f aca="false">IFERROR(VLOOKUP(A94,Cleaned_Appointment!$B:$G,4,FALSE()),"N/A")</f>
        <v>45449</v>
      </c>
      <c r="C94" s="11" t="n">
        <f aca="false">IFERROR(VLOOKUP(A94,Cleaned_Appointment!$B:$G,5,FALSE()),"N/A")</f>
        <v>0.770833333333333</v>
      </c>
      <c r="D94" s="7" t="str">
        <f aca="false">Cleaned_Feedback!C94</f>
        <v>Orthopedics</v>
      </c>
      <c r="E94" s="7" t="n">
        <f aca="false">Cleaned_Feedback!D94</f>
        <v>4</v>
      </c>
      <c r="F94" s="7" t="str">
        <f aca="false">Cleaned_Feedback!E94</f>
        <v>Room cleanliness issue</v>
      </c>
      <c r="G94" s="7" t="n">
        <f aca="false">Cleaned_Feedback!F94</f>
        <v>45</v>
      </c>
      <c r="H94" s="7" t="str">
        <f aca="false">IF(ISNUMBER(E94),IF(E94&gt;=4,"High","Low"),"N/A")</f>
        <v>High</v>
      </c>
      <c r="I94" s="7" t="n">
        <f aca="false">IFERROR(HOUR(C94),"N/A")</f>
        <v>18</v>
      </c>
    </row>
    <row r="95" customFormat="false" ht="15" hidden="false" customHeight="true" outlineLevel="0" collapsed="false">
      <c r="A95" s="7" t="str">
        <f aca="false">Cleaned_Feedback!B95</f>
        <v>P22791</v>
      </c>
      <c r="B95" s="10" t="n">
        <f aca="false">IFERROR(VLOOKUP(A95,Cleaned_Appointment!$B:$G,4,FALSE()),"N/A")</f>
        <v>45600</v>
      </c>
      <c r="C95" s="11" t="n">
        <f aca="false">IFERROR(VLOOKUP(A95,Cleaned_Appointment!$B:$G,5,FALSE()),"N/A")</f>
        <v>0.666666666666667</v>
      </c>
      <c r="D95" s="7" t="str">
        <f aca="false">Cleaned_Feedback!C95</f>
        <v>Oncology</v>
      </c>
      <c r="E95" s="7" t="n">
        <f aca="false">Cleaned_Feedback!D95</f>
        <v>9</v>
      </c>
      <c r="F95" s="7" t="str">
        <f aca="false">Cleaned_Feedback!E95</f>
        <v>Highly recommended</v>
      </c>
      <c r="G95" s="7" t="n">
        <f aca="false">Cleaned_Feedback!F95</f>
        <v>30</v>
      </c>
      <c r="H95" s="7" t="str">
        <f aca="false">IF(ISNUMBER(E95),IF(E95&gt;=4,"High","Low"),"N/A")</f>
        <v>High</v>
      </c>
      <c r="I95" s="7" t="n">
        <f aca="false">IFERROR(HOUR(C95),"N/A")</f>
        <v>16</v>
      </c>
    </row>
    <row r="96" customFormat="false" ht="15" hidden="false" customHeight="true" outlineLevel="0" collapsed="false">
      <c r="A96" s="7" t="str">
        <f aca="false">Cleaned_Feedback!B96</f>
        <v>P17310</v>
      </c>
      <c r="B96" s="10" t="n">
        <f aca="false">IFERROR(VLOOKUP(A96,Cleaned_Appointment!$B:$G,4,FALSE()),"N/A")</f>
        <v>45370</v>
      </c>
      <c r="C96" s="11" t="n">
        <f aca="false">IFERROR(VLOOKUP(A96,Cleaned_Appointment!$B:$G,5,FALSE()),"N/A")</f>
        <v>0.666666666666667</v>
      </c>
      <c r="D96" s="7" t="str">
        <f aca="false">Cleaned_Feedback!C96</f>
        <v>General Medicine</v>
      </c>
      <c r="E96" s="7" t="n">
        <f aca="false">Cleaned_Feedback!D96</f>
        <v>6</v>
      </c>
      <c r="F96" s="7" t="str">
        <f aca="false">Cleaned_Feedback!E96</f>
        <v>Very good</v>
      </c>
      <c r="G96" s="7" t="n">
        <f aca="false">Cleaned_Feedback!F96</f>
        <v>45</v>
      </c>
      <c r="H96" s="7" t="str">
        <f aca="false">IF(ISNUMBER(E96),IF(E96&gt;=4,"High","Low"),"N/A")</f>
        <v>High</v>
      </c>
      <c r="I96" s="7" t="n">
        <f aca="false">IFERROR(HOUR(C96),"N/A")</f>
        <v>16</v>
      </c>
    </row>
    <row r="97" customFormat="false" ht="15" hidden="false" customHeight="true" outlineLevel="0" collapsed="false">
      <c r="A97" s="7" t="str">
        <f aca="false">Cleaned_Feedback!B97</f>
        <v>P61087</v>
      </c>
      <c r="B97" s="10" t="n">
        <f aca="false">IFERROR(VLOOKUP(A97,Cleaned_Appointment!$B:$G,4,FALSE()),"N/A")</f>
        <v>45389</v>
      </c>
      <c r="C97" s="11" t="n">
        <f aca="false">IFERROR(VLOOKUP(A97,Cleaned_Appointment!$B:$G,5,FALSE()),"N/A")</f>
        <v>0.354166666666667</v>
      </c>
      <c r="D97" s="7" t="str">
        <f aca="false">Cleaned_Feedback!C97</f>
        <v>Pediatric</v>
      </c>
      <c r="E97" s="7" t="n">
        <f aca="false">Cleaned_Feedback!D97</f>
        <v>9</v>
      </c>
      <c r="F97" s="7" t="str">
        <f aca="false">Cleaned_Feedback!E97</f>
        <v>Amazing team</v>
      </c>
      <c r="G97" s="7" t="n">
        <f aca="false">Cleaned_Feedback!F97</f>
        <v>30</v>
      </c>
      <c r="H97" s="7" t="str">
        <f aca="false">IF(ISNUMBER(E97),IF(E97&gt;=4,"High","Low"),"N/A")</f>
        <v>High</v>
      </c>
      <c r="I97" s="7" t="n">
        <f aca="false">IFERROR(HOUR(C97),"N/A")</f>
        <v>8</v>
      </c>
    </row>
    <row r="98" customFormat="false" ht="15" hidden="false" customHeight="true" outlineLevel="0" collapsed="false">
      <c r="A98" s="7" t="str">
        <f aca="false">Cleaned_Feedback!B98</f>
        <v>P81824</v>
      </c>
      <c r="B98" s="10" t="n">
        <f aca="false">IFERROR(VLOOKUP(A98,Cleaned_Appointment!$B:$G,4,FALSE()),"N/A")</f>
        <v>45438</v>
      </c>
      <c r="C98" s="11" t="n">
        <f aca="false">IFERROR(VLOOKUP(A98,Cleaned_Appointment!$B:$G,5,FALSE()),"N/A")</f>
        <v>0.4375</v>
      </c>
      <c r="D98" s="7" t="str">
        <f aca="false">Cleaned_Feedback!C98</f>
        <v>Neurology</v>
      </c>
      <c r="E98" s="7" t="n">
        <f aca="false">Cleaned_Feedback!D98</f>
        <v>4</v>
      </c>
      <c r="F98" s="7" t="str">
        <f aca="false">Cleaned_Feedback!E98</f>
        <v>Room cleanliness issue</v>
      </c>
      <c r="G98" s="7" t="n">
        <f aca="false">Cleaned_Feedback!F98</f>
        <v>45</v>
      </c>
      <c r="H98" s="7" t="str">
        <f aca="false">IF(ISNUMBER(E98),IF(E98&gt;=4,"High","Low"),"N/A")</f>
        <v>High</v>
      </c>
      <c r="I98" s="7" t="n">
        <f aca="false">IFERROR(HOUR(C98),"N/A")</f>
        <v>10</v>
      </c>
    </row>
    <row r="99" customFormat="false" ht="15" hidden="false" customHeight="true" outlineLevel="0" collapsed="false">
      <c r="A99" s="7" t="str">
        <f aca="false">Cleaned_Feedback!B99</f>
        <v>P24131</v>
      </c>
      <c r="B99" s="10" t="n">
        <f aca="false">IFERROR(VLOOKUP(A99,Cleaned_Appointment!$B:$G,4,FALSE()),"N/A")</f>
        <v>45457</v>
      </c>
      <c r="C99" s="11" t="n">
        <f aca="false">IFERROR(VLOOKUP(A99,Cleaned_Appointment!$B:$G,5,FALSE()),"N/A")</f>
        <v>0.5</v>
      </c>
      <c r="D99" s="7" t="str">
        <f aca="false">Cleaned_Feedback!C99</f>
        <v>Cardiology</v>
      </c>
      <c r="E99" s="7" t="n">
        <f aca="false">Cleaned_Feedback!D99</f>
        <v>4</v>
      </c>
      <c r="F99" s="7" t="str">
        <f aca="false">Cleaned_Feedback!E99</f>
        <v>Delayed response</v>
      </c>
      <c r="G99" s="7" t="n">
        <f aca="false">Cleaned_Feedback!F99</f>
        <v>45</v>
      </c>
      <c r="H99" s="7" t="str">
        <f aca="false">IF(ISNUMBER(E99),IF(E99&gt;=4,"High","Low"),"N/A")</f>
        <v>High</v>
      </c>
      <c r="I99" s="7" t="n">
        <f aca="false">IFERROR(HOUR(C99),"N/A")</f>
        <v>12</v>
      </c>
    </row>
    <row r="100" customFormat="false" ht="15" hidden="false" customHeight="true" outlineLevel="0" collapsed="false">
      <c r="A100" s="7" t="str">
        <f aca="false">Cleaned_Feedback!B100</f>
        <v>P55235</v>
      </c>
      <c r="B100" s="10" t="n">
        <f aca="false">IFERROR(VLOOKUP(A100,Cleaned_Appointment!$B:$G,4,FALSE()),"N/A")</f>
        <v>45482</v>
      </c>
      <c r="C100" s="11" t="n">
        <f aca="false">IFERROR(VLOOKUP(A100,Cleaned_Appointment!$B:$G,5,FALSE()),"N/A")</f>
        <v>0.645833333333333</v>
      </c>
      <c r="D100" s="7" t="str">
        <f aca="false">Cleaned_Feedback!C100</f>
        <v>Oncology</v>
      </c>
      <c r="E100" s="7" t="n">
        <f aca="false">Cleaned_Feedback!D100</f>
        <v>6</v>
      </c>
      <c r="F100" s="7" t="str">
        <f aca="false">Cleaned_Feedback!E100</f>
        <v>Very good</v>
      </c>
      <c r="G100" s="7" t="n">
        <f aca="false">Cleaned_Feedback!F100</f>
        <v>45</v>
      </c>
      <c r="H100" s="7" t="str">
        <f aca="false">IF(ISNUMBER(E100),IF(E100&gt;=4,"High","Low"),"N/A")</f>
        <v>High</v>
      </c>
      <c r="I100" s="7" t="n">
        <f aca="false">IFERROR(HOUR(C100),"N/A")</f>
        <v>15</v>
      </c>
    </row>
    <row r="101" customFormat="false" ht="15" hidden="false" customHeight="true" outlineLevel="0" collapsed="false">
      <c r="A101" s="7" t="str">
        <f aca="false">Cleaned_Feedback!B101</f>
        <v>P65114</v>
      </c>
      <c r="B101" s="10" t="n">
        <f aca="false">IFERROR(VLOOKUP(A101,Cleaned_Appointment!$B:$G,4,FALSE()),"N/A")</f>
        <v>45367</v>
      </c>
      <c r="C101" s="11" t="n">
        <f aca="false">IFERROR(VLOOKUP(A101,Cleaned_Appointment!$B:$G,5,FALSE()),"N/A")</f>
        <v>0.416666666666667</v>
      </c>
      <c r="D101" s="7" t="str">
        <f aca="false">Cleaned_Feedback!C101</f>
        <v>Orthopedics</v>
      </c>
      <c r="E101" s="7" t="n">
        <f aca="false">Cleaned_Feedback!D101</f>
        <v>9</v>
      </c>
      <c r="F101" s="7" t="str">
        <f aca="false">Cleaned_Feedback!E101</f>
        <v>Excellent care</v>
      </c>
      <c r="G101" s="7" t="n">
        <f aca="false">Cleaned_Feedback!F101</f>
        <v>30</v>
      </c>
      <c r="H101" s="7" t="str">
        <f aca="false">IF(ISNUMBER(E101),IF(E101&gt;=4,"High","Low"),"N/A")</f>
        <v>High</v>
      </c>
      <c r="I101" s="7" t="n">
        <f aca="false">IFERROR(HOUR(C101),"N/A")</f>
        <v>10</v>
      </c>
    </row>
    <row r="102" customFormat="false" ht="15" hidden="false" customHeight="true" outlineLevel="0" collapsed="false">
      <c r="A102" s="7" t="str">
        <f aca="false">Cleaned_Feedback!B102</f>
        <v>P88218</v>
      </c>
      <c r="B102" s="10" t="n">
        <f aca="false">IFERROR(VLOOKUP(A102,Cleaned_Appointment!$B:$G,4,FALSE()),"N/A")</f>
        <v>45529</v>
      </c>
      <c r="C102" s="11" t="n">
        <f aca="false">IFERROR(VLOOKUP(A102,Cleaned_Appointment!$B:$G,5,FALSE()),"N/A")</f>
        <v>0.4375</v>
      </c>
      <c r="D102" s="7" t="str">
        <f aca="false">Cleaned_Feedback!C102</f>
        <v>Pediatric</v>
      </c>
      <c r="E102" s="7" t="n">
        <f aca="false">Cleaned_Feedback!D102</f>
        <v>8</v>
      </c>
      <c r="F102" s="7" t="str">
        <f aca="false">Cleaned_Feedback!E102</f>
        <v>Efficient process</v>
      </c>
      <c r="G102" s="7" t="n">
        <f aca="false">Cleaned_Feedback!F102</f>
        <v>45</v>
      </c>
      <c r="H102" s="7" t="str">
        <f aca="false">IF(ISNUMBER(E102),IF(E102&gt;=4,"High","Low"),"N/A")</f>
        <v>High</v>
      </c>
      <c r="I102" s="7" t="n">
        <f aca="false">IFERROR(HOUR(C102),"N/A")</f>
        <v>10</v>
      </c>
    </row>
    <row r="103" customFormat="false" ht="15" hidden="false" customHeight="true" outlineLevel="0" collapsed="false">
      <c r="A103" s="7" t="str">
        <f aca="false">Cleaned_Feedback!B103</f>
        <v>P34644</v>
      </c>
      <c r="B103" s="10" t="n">
        <f aca="false">IFERROR(VLOOKUP(A103,Cleaned_Appointment!$B:$G,4,FALSE()),"N/A")</f>
        <v>45306</v>
      </c>
      <c r="C103" s="11" t="n">
        <f aca="false">IFERROR(VLOOKUP(A103,Cleaned_Appointment!$B:$G,5,FALSE()),"N/A")</f>
        <v>0.520833333333333</v>
      </c>
      <c r="D103" s="7" t="str">
        <f aca="false">Cleaned_Feedback!C103</f>
        <v>Neurology</v>
      </c>
      <c r="E103" s="7" t="n">
        <f aca="false">Cleaned_Feedback!D103</f>
        <v>4</v>
      </c>
      <c r="F103" s="7" t="str">
        <f aca="false">Cleaned_Feedback!E103</f>
        <v>Delayed response</v>
      </c>
      <c r="G103" s="7" t="n">
        <f aca="false">Cleaned_Feedback!F103</f>
        <v>45</v>
      </c>
      <c r="H103" s="7" t="str">
        <f aca="false">IF(ISNUMBER(E103),IF(E103&gt;=4,"High","Low"),"N/A")</f>
        <v>High</v>
      </c>
      <c r="I103" s="7" t="n">
        <f aca="false">IFERROR(HOUR(C103),"N/A")</f>
        <v>12</v>
      </c>
    </row>
    <row r="104" customFormat="false" ht="15" hidden="false" customHeight="true" outlineLevel="0" collapsed="false">
      <c r="A104" s="7" t="str">
        <f aca="false">Cleaned_Feedback!B104</f>
        <v>P29322</v>
      </c>
      <c r="B104" s="10" t="n">
        <f aca="false">IFERROR(VLOOKUP(A104,Cleaned_Appointment!$B:$G,4,FALSE()),"N/A")</f>
        <v>45618</v>
      </c>
      <c r="C104" s="11" t="n">
        <f aca="false">IFERROR(VLOOKUP(A104,Cleaned_Appointment!$B:$G,5,FALSE()),"N/A")</f>
        <v>0.770833333333333</v>
      </c>
      <c r="D104" s="7" t="str">
        <f aca="false">Cleaned_Feedback!C104</f>
        <v>Neurology</v>
      </c>
      <c r="E104" s="7" t="n">
        <f aca="false">Cleaned_Feedback!D104</f>
        <v>7</v>
      </c>
      <c r="F104" s="7" t="str">
        <f aca="false">Cleaned_Feedback!E104</f>
        <v>Satisfactory</v>
      </c>
      <c r="G104" s="7" t="n">
        <f aca="false">Cleaned_Feedback!F104</f>
        <v>45</v>
      </c>
      <c r="H104" s="7" t="str">
        <f aca="false">IF(ISNUMBER(E104),IF(E104&gt;=4,"High","Low"),"N/A")</f>
        <v>High</v>
      </c>
      <c r="I104" s="7" t="n">
        <f aca="false">IFERROR(HOUR(C104),"N/A")</f>
        <v>18</v>
      </c>
    </row>
    <row r="105" customFormat="false" ht="15" hidden="false" customHeight="true" outlineLevel="0" collapsed="false">
      <c r="A105" s="7" t="str">
        <f aca="false">Cleaned_Feedback!B105</f>
        <v>P64103</v>
      </c>
      <c r="B105" s="10" t="n">
        <f aca="false">IFERROR(VLOOKUP(A105,Cleaned_Appointment!$B:$G,4,FALSE()),"N/A")</f>
        <v>45387</v>
      </c>
      <c r="C105" s="11" t="n">
        <f aca="false">IFERROR(VLOOKUP(A105,Cleaned_Appointment!$B:$G,5,FALSE()),"N/A")</f>
        <v>0.375</v>
      </c>
      <c r="D105" s="7" t="str">
        <f aca="false">Cleaned_Feedback!C105</f>
        <v>N/A</v>
      </c>
      <c r="E105" s="7" t="n">
        <f aca="false">Cleaned_Feedback!D105</f>
        <v>6.27</v>
      </c>
      <c r="F105" s="7" t="str">
        <f aca="false">Cleaned_Feedback!E105</f>
        <v>N/A</v>
      </c>
      <c r="G105" s="7" t="str">
        <f aca="false">Cleaned_Feedback!F105</f>
        <v>N/A</v>
      </c>
      <c r="H105" s="7" t="str">
        <f aca="false">IF(ISNUMBER(E105),IF(E105&gt;=4,"High","Low"),"N/A")</f>
        <v>High</v>
      </c>
      <c r="I105" s="7" t="n">
        <f aca="false">IFERROR(HOUR(C105),"N/A")</f>
        <v>9</v>
      </c>
    </row>
    <row r="106" customFormat="false" ht="15" hidden="false" customHeight="true" outlineLevel="0" collapsed="false">
      <c r="A106" s="7" t="str">
        <f aca="false">Cleaned_Feedback!B106</f>
        <v>P93372</v>
      </c>
      <c r="B106" s="10" t="n">
        <f aca="false">IFERROR(VLOOKUP(A106,Cleaned_Appointment!$B:$G,4,FALSE()),"N/A")</f>
        <v>45516</v>
      </c>
      <c r="C106" s="11" t="n">
        <f aca="false">IFERROR(VLOOKUP(A106,Cleaned_Appointment!$B:$G,5,FALSE()),"N/A")</f>
        <v>0.75</v>
      </c>
      <c r="D106" s="7" t="str">
        <f aca="false">Cleaned_Feedback!C106</f>
        <v>General Medicine</v>
      </c>
      <c r="E106" s="7" t="n">
        <f aca="false">Cleaned_Feedback!D106</f>
        <v>4</v>
      </c>
      <c r="F106" s="7" t="str">
        <f aca="false">Cleaned_Feedback!E106</f>
        <v>Delayed response</v>
      </c>
      <c r="G106" s="7" t="n">
        <f aca="false">Cleaned_Feedback!F106</f>
        <v>45</v>
      </c>
      <c r="H106" s="7" t="str">
        <f aca="false">IF(ISNUMBER(E106),IF(E106&gt;=4,"High","Low"),"N/A")</f>
        <v>High</v>
      </c>
      <c r="I106" s="7" t="n">
        <f aca="false">IFERROR(HOUR(C106),"N/A")</f>
        <v>18</v>
      </c>
    </row>
    <row r="107" customFormat="false" ht="15" hidden="false" customHeight="true" outlineLevel="0" collapsed="false">
      <c r="A107" s="7" t="str">
        <f aca="false">Cleaned_Feedback!B107</f>
        <v>P33026</v>
      </c>
      <c r="B107" s="10" t="n">
        <f aca="false">IFERROR(VLOOKUP(A107,Cleaned_Appointment!$B:$G,4,FALSE()),"N/A")</f>
        <v>45608</v>
      </c>
      <c r="C107" s="11" t="n">
        <f aca="false">IFERROR(VLOOKUP(A107,Cleaned_Appointment!$B:$G,5,FALSE()),"N/A")</f>
        <v>0.354166666666667</v>
      </c>
      <c r="D107" s="7" t="str">
        <f aca="false">Cleaned_Feedback!C107</f>
        <v>Orthopedics</v>
      </c>
      <c r="E107" s="7" t="n">
        <f aca="false">Cleaned_Feedback!D107</f>
        <v>8</v>
      </c>
      <c r="F107" s="7" t="str">
        <f aca="false">Cleaned_Feedback!E107</f>
        <v>Great doctors</v>
      </c>
      <c r="G107" s="7" t="n">
        <f aca="false">Cleaned_Feedback!F107</f>
        <v>45</v>
      </c>
      <c r="H107" s="7" t="str">
        <f aca="false">IF(ISNUMBER(E107),IF(E107&gt;=4,"High","Low"),"N/A")</f>
        <v>High</v>
      </c>
      <c r="I107" s="7" t="n">
        <f aca="false">IFERROR(HOUR(C107),"N/A")</f>
        <v>8</v>
      </c>
    </row>
    <row r="108" customFormat="false" ht="15" hidden="false" customHeight="true" outlineLevel="0" collapsed="false">
      <c r="A108" s="7" t="str">
        <f aca="false">Cleaned_Feedback!B108</f>
        <v>P47436</v>
      </c>
      <c r="B108" s="10" t="n">
        <f aca="false">IFERROR(VLOOKUP(A108,Cleaned_Appointment!$B:$G,4,FALSE()),"N/A")</f>
        <v>45367</v>
      </c>
      <c r="C108" s="11" t="n">
        <f aca="false">IFERROR(VLOOKUP(A108,Cleaned_Appointment!$B:$G,5,FALSE()),"N/A")</f>
        <v>0.604166666666667</v>
      </c>
      <c r="D108" s="7" t="str">
        <f aca="false">Cleaned_Feedback!C108</f>
        <v>Cardiology</v>
      </c>
      <c r="E108" s="7" t="n">
        <f aca="false">Cleaned_Feedback!D108</f>
        <v>8</v>
      </c>
      <c r="F108" s="7" t="str">
        <f aca="false">Cleaned_Feedback!E108</f>
        <v>Efficient process</v>
      </c>
      <c r="G108" s="7" t="n">
        <f aca="false">Cleaned_Feedback!F108</f>
        <v>45</v>
      </c>
      <c r="H108" s="7" t="str">
        <f aca="false">IF(ISNUMBER(E108),IF(E108&gt;=4,"High","Low"),"N/A")</f>
        <v>High</v>
      </c>
      <c r="I108" s="7" t="n">
        <f aca="false">IFERROR(HOUR(C108),"N/A")</f>
        <v>14</v>
      </c>
    </row>
    <row r="109" customFormat="false" ht="15" hidden="false" customHeight="true" outlineLevel="0" collapsed="false">
      <c r="A109" s="7" t="str">
        <f aca="false">Cleaned_Feedback!B109</f>
        <v>P48965</v>
      </c>
      <c r="B109" s="10" t="n">
        <f aca="false">IFERROR(VLOOKUP(A109,Cleaned_Appointment!$B:$G,4,FALSE()),"N/A")</f>
        <v>45404</v>
      </c>
      <c r="C109" s="11" t="n">
        <f aca="false">IFERROR(VLOOKUP(A109,Cleaned_Appointment!$B:$G,5,FALSE()),"N/A")</f>
        <v>0.75</v>
      </c>
      <c r="D109" s="7" t="str">
        <f aca="false">Cleaned_Feedback!C109</f>
        <v>Oncology</v>
      </c>
      <c r="E109" s="7" t="n">
        <f aca="false">Cleaned_Feedback!D109</f>
        <v>9</v>
      </c>
      <c r="F109" s="7" t="str">
        <f aca="false">Cleaned_Feedback!E109</f>
        <v>Highly recommended</v>
      </c>
      <c r="G109" s="7" t="n">
        <f aca="false">Cleaned_Feedback!F109</f>
        <v>30</v>
      </c>
      <c r="H109" s="7" t="str">
        <f aca="false">IF(ISNUMBER(E109),IF(E109&gt;=4,"High","Low"),"N/A")</f>
        <v>High</v>
      </c>
      <c r="I109" s="7" t="n">
        <f aca="false">IFERROR(HOUR(C109),"N/A")</f>
        <v>18</v>
      </c>
    </row>
    <row r="110" customFormat="false" ht="15" hidden="false" customHeight="true" outlineLevel="0" collapsed="false">
      <c r="A110" s="7" t="str">
        <f aca="false">Cleaned_Feedback!B110</f>
        <v>P20771</v>
      </c>
      <c r="B110" s="10" t="n">
        <f aca="false">IFERROR(VLOOKUP(A110,Cleaned_Appointment!$B:$G,4,FALSE()),"N/A")</f>
        <v>45480</v>
      </c>
      <c r="C110" s="11" t="n">
        <f aca="false">IFERROR(VLOOKUP(A110,Cleaned_Appointment!$B:$G,5,FALSE()),"N/A")</f>
        <v>0.6875</v>
      </c>
      <c r="D110" s="7" t="str">
        <f aca="false">Cleaned_Feedback!C110</f>
        <v>Pediatric</v>
      </c>
      <c r="E110" s="7" t="n">
        <f aca="false">Cleaned_Feedback!D110</f>
        <v>6</v>
      </c>
      <c r="F110" s="7" t="str">
        <f aca="false">Cleaned_Feedback!E110</f>
        <v>Very good</v>
      </c>
      <c r="G110" s="7" t="n">
        <f aca="false">Cleaned_Feedback!F110</f>
        <v>45</v>
      </c>
      <c r="H110" s="7" t="str">
        <f aca="false">IF(ISNUMBER(E110),IF(E110&gt;=4,"High","Low"),"N/A")</f>
        <v>High</v>
      </c>
      <c r="I110" s="7" t="n">
        <f aca="false">IFERROR(HOUR(C110),"N/A")</f>
        <v>16</v>
      </c>
    </row>
    <row r="111" customFormat="false" ht="15" hidden="false" customHeight="true" outlineLevel="0" collapsed="false">
      <c r="A111" s="7" t="str">
        <f aca="false">Cleaned_Feedback!B111</f>
        <v>P32966</v>
      </c>
      <c r="B111" s="10" t="n">
        <f aca="false">IFERROR(VLOOKUP(A111,Cleaned_Appointment!$B:$G,4,FALSE()),"N/A")</f>
        <v>45444</v>
      </c>
      <c r="C111" s="11" t="n">
        <f aca="false">IFERROR(VLOOKUP(A111,Cleaned_Appointment!$B:$G,5,FALSE()),"N/A")</f>
        <v>0.416666666666667</v>
      </c>
      <c r="D111" s="7" t="str">
        <f aca="false">Cleaned_Feedback!C111</f>
        <v>Pediatric</v>
      </c>
      <c r="E111" s="7" t="n">
        <f aca="false">Cleaned_Feedback!D111</f>
        <v>6</v>
      </c>
      <c r="F111" s="7" t="str">
        <f aca="false">Cleaned_Feedback!E111</f>
        <v>Very good</v>
      </c>
      <c r="G111" s="7" t="n">
        <f aca="false">Cleaned_Feedback!F111</f>
        <v>45</v>
      </c>
      <c r="H111" s="7" t="str">
        <f aca="false">IF(ISNUMBER(E111),IF(E111&gt;=4,"High","Low"),"N/A")</f>
        <v>High</v>
      </c>
      <c r="I111" s="7" t="n">
        <f aca="false">IFERROR(HOUR(C111),"N/A")</f>
        <v>10</v>
      </c>
    </row>
    <row r="112" customFormat="false" ht="15" hidden="false" customHeight="true" outlineLevel="0" collapsed="false">
      <c r="A112" s="7" t="str">
        <f aca="false">Cleaned_Feedback!B112</f>
        <v>P65077</v>
      </c>
      <c r="B112" s="10" t="n">
        <f aca="false">IFERROR(VLOOKUP(A112,Cleaned_Appointment!$B:$G,4,FALSE()),"N/A")</f>
        <v>45472</v>
      </c>
      <c r="C112" s="11" t="n">
        <f aca="false">IFERROR(VLOOKUP(A112,Cleaned_Appointment!$B:$G,5,FALSE()),"N/A")</f>
        <v>0.458333333333333</v>
      </c>
      <c r="D112" s="7" t="str">
        <f aca="false">Cleaned_Feedback!C112</f>
        <v>General Medicine</v>
      </c>
      <c r="E112" s="7" t="n">
        <f aca="false">Cleaned_Feedback!D112</f>
        <v>4</v>
      </c>
      <c r="F112" s="7" t="str">
        <f aca="false">Cleaned_Feedback!E112</f>
        <v>Delayed response</v>
      </c>
      <c r="G112" s="7" t="n">
        <f aca="false">Cleaned_Feedback!F112</f>
        <v>45</v>
      </c>
      <c r="H112" s="7" t="str">
        <f aca="false">IF(ISNUMBER(E112),IF(E112&gt;=4,"High","Low"),"N/A")</f>
        <v>High</v>
      </c>
      <c r="I112" s="7" t="n">
        <f aca="false">IFERROR(HOUR(C112),"N/A")</f>
        <v>11</v>
      </c>
    </row>
    <row r="113" customFormat="false" ht="15" hidden="false" customHeight="true" outlineLevel="0" collapsed="false">
      <c r="A113" s="7" t="str">
        <f aca="false">Cleaned_Feedback!B113</f>
        <v>P30147</v>
      </c>
      <c r="B113" s="10" t="n">
        <f aca="false">IFERROR(VLOOKUP(A113,Cleaned_Appointment!$B:$G,4,FALSE()),"N/A")</f>
        <v>45303</v>
      </c>
      <c r="C113" s="11" t="n">
        <f aca="false">IFERROR(VLOOKUP(A113,Cleaned_Appointment!$B:$G,5,FALSE()),"N/A")</f>
        <v>0.75</v>
      </c>
      <c r="D113" s="7" t="str">
        <f aca="false">Cleaned_Feedback!C113</f>
        <v>Oncology</v>
      </c>
      <c r="E113" s="7" t="n">
        <f aca="false">Cleaned_Feedback!D113</f>
        <v>3</v>
      </c>
      <c r="F113" s="7" t="str">
        <f aca="false">Cleaned_Feedback!E113</f>
        <v>Long wait times</v>
      </c>
      <c r="G113" s="7" t="n">
        <f aca="false">Cleaned_Feedback!F113</f>
        <v>45</v>
      </c>
      <c r="H113" s="7" t="str">
        <f aca="false">IF(ISNUMBER(E113),IF(E113&gt;=4,"High","Low"),"N/A")</f>
        <v>Low</v>
      </c>
      <c r="I113" s="7" t="n">
        <f aca="false">IFERROR(HOUR(C113),"N/A")</f>
        <v>18</v>
      </c>
    </row>
    <row r="114" customFormat="false" ht="15" hidden="false" customHeight="true" outlineLevel="0" collapsed="false">
      <c r="A114" s="7" t="str">
        <f aca="false">Cleaned_Feedback!B114</f>
        <v>P28668</v>
      </c>
      <c r="B114" s="10" t="n">
        <f aca="false">IFERROR(VLOOKUP(A114,Cleaned_Appointment!$B:$G,4,FALSE()),"N/A")</f>
        <v>45541</v>
      </c>
      <c r="C114" s="11" t="n">
        <f aca="false">IFERROR(VLOOKUP(A114,Cleaned_Appointment!$B:$G,5,FALSE()),"N/A")</f>
        <v>0.5</v>
      </c>
      <c r="D114" s="7" t="str">
        <f aca="false">Cleaned_Feedback!C114</f>
        <v>Pediatric</v>
      </c>
      <c r="E114" s="7" t="n">
        <f aca="false">Cleaned_Feedback!D114</f>
        <v>4</v>
      </c>
      <c r="F114" s="7" t="str">
        <f aca="false">Cleaned_Feedback!E114</f>
        <v>Delayed response</v>
      </c>
      <c r="G114" s="7" t="n">
        <f aca="false">Cleaned_Feedback!F114</f>
        <v>45</v>
      </c>
      <c r="H114" s="7" t="str">
        <f aca="false">IF(ISNUMBER(E114),IF(E114&gt;=4,"High","Low"),"N/A")</f>
        <v>High</v>
      </c>
      <c r="I114" s="7" t="n">
        <f aca="false">IFERROR(HOUR(C114),"N/A")</f>
        <v>12</v>
      </c>
    </row>
    <row r="115" customFormat="false" ht="15" hidden="false" customHeight="true" outlineLevel="0" collapsed="false">
      <c r="A115" s="7" t="str">
        <f aca="false">Cleaned_Feedback!B115</f>
        <v>P54890</v>
      </c>
      <c r="B115" s="10" t="n">
        <f aca="false">IFERROR(VLOOKUP(A115,Cleaned_Appointment!$B:$G,4,FALSE()),"N/A")</f>
        <v>45486</v>
      </c>
      <c r="C115" s="11" t="n">
        <f aca="false">IFERROR(VLOOKUP(A115,Cleaned_Appointment!$B:$G,5,FALSE()),"N/A")</f>
        <v>0.333333333333333</v>
      </c>
      <c r="D115" s="7" t="str">
        <f aca="false">Cleaned_Feedback!C115</f>
        <v>Oncology</v>
      </c>
      <c r="E115" s="7" t="n">
        <f aca="false">Cleaned_Feedback!D115</f>
        <v>4</v>
      </c>
      <c r="F115" s="7" t="str">
        <f aca="false">Cleaned_Feedback!E115</f>
        <v>Room cleanliness issue</v>
      </c>
      <c r="G115" s="7" t="n">
        <f aca="false">Cleaned_Feedback!F115</f>
        <v>45</v>
      </c>
      <c r="H115" s="7" t="str">
        <f aca="false">IF(ISNUMBER(E115),IF(E115&gt;=4,"High","Low"),"N/A")</f>
        <v>High</v>
      </c>
      <c r="I115" s="7" t="n">
        <f aca="false">IFERROR(HOUR(C115),"N/A")</f>
        <v>8</v>
      </c>
    </row>
    <row r="116" customFormat="false" ht="15" hidden="false" customHeight="true" outlineLevel="0" collapsed="false">
      <c r="A116" s="7" t="str">
        <f aca="false">Cleaned_Feedback!B116</f>
        <v>P77589</v>
      </c>
      <c r="B116" s="10" t="n">
        <f aca="false">IFERROR(VLOOKUP(A116,Cleaned_Appointment!$B:$G,4,FALSE()),"N/A")</f>
        <v>45491</v>
      </c>
      <c r="C116" s="11" t="n">
        <f aca="false">IFERROR(VLOOKUP(A116,Cleaned_Appointment!$B:$G,5,FALSE()),"N/A")</f>
        <v>0.416666666666667</v>
      </c>
      <c r="D116" s="7" t="str">
        <f aca="false">Cleaned_Feedback!C116</f>
        <v>Pediatric</v>
      </c>
      <c r="E116" s="7" t="n">
        <f aca="false">Cleaned_Feedback!D116</f>
        <v>3</v>
      </c>
      <c r="F116" s="7" t="str">
        <f aca="false">Cleaned_Feedback!E116</f>
        <v>Long wait times</v>
      </c>
      <c r="G116" s="7" t="n">
        <f aca="false">Cleaned_Feedback!F116</f>
        <v>45</v>
      </c>
      <c r="H116" s="7" t="str">
        <f aca="false">IF(ISNUMBER(E116),IF(E116&gt;=4,"High","Low"),"N/A")</f>
        <v>Low</v>
      </c>
      <c r="I116" s="7" t="n">
        <f aca="false">IFERROR(HOUR(C116),"N/A")</f>
        <v>10</v>
      </c>
    </row>
    <row r="117" customFormat="false" ht="15" hidden="false" customHeight="true" outlineLevel="0" collapsed="false">
      <c r="A117" s="7" t="str">
        <f aca="false">Cleaned_Feedback!B117</f>
        <v>P59917</v>
      </c>
      <c r="B117" s="10" t="n">
        <f aca="false">IFERROR(VLOOKUP(A117,Cleaned_Appointment!$B:$G,4,FALSE()),"N/A")</f>
        <v>45504</v>
      </c>
      <c r="C117" s="11" t="n">
        <f aca="false">IFERROR(VLOOKUP(A117,Cleaned_Appointment!$B:$G,5,FALSE()),"N/A")</f>
        <v>0.416666666666667</v>
      </c>
      <c r="D117" s="7" t="str">
        <f aca="false">Cleaned_Feedback!C117</f>
        <v>General Medicine</v>
      </c>
      <c r="E117" s="7" t="n">
        <f aca="false">Cleaned_Feedback!D117</f>
        <v>7</v>
      </c>
      <c r="F117" s="7" t="str">
        <f aca="false">Cleaned_Feedback!E117</f>
        <v>Satisfactory</v>
      </c>
      <c r="G117" s="7" t="n">
        <f aca="false">Cleaned_Feedback!F117</f>
        <v>45</v>
      </c>
      <c r="H117" s="7" t="str">
        <f aca="false">IF(ISNUMBER(E117),IF(E117&gt;=4,"High","Low"),"N/A")</f>
        <v>High</v>
      </c>
      <c r="I117" s="7" t="n">
        <f aca="false">IFERROR(HOUR(C117),"N/A")</f>
        <v>10</v>
      </c>
    </row>
    <row r="118" customFormat="false" ht="15" hidden="false" customHeight="true" outlineLevel="0" collapsed="false">
      <c r="A118" s="7" t="str">
        <f aca="false">Cleaned_Feedback!B118</f>
        <v>P89260</v>
      </c>
      <c r="B118" s="10" t="n">
        <f aca="false">IFERROR(VLOOKUP(A118,Cleaned_Appointment!$B:$G,4,FALSE()),"N/A")</f>
        <v>45359</v>
      </c>
      <c r="C118" s="11" t="n">
        <f aca="false">IFERROR(VLOOKUP(A118,Cleaned_Appointment!$B:$G,5,FALSE()),"N/A")</f>
        <v>0.708333333333333</v>
      </c>
      <c r="D118" s="7" t="str">
        <f aca="false">Cleaned_Feedback!C118</f>
        <v>Oncology</v>
      </c>
      <c r="E118" s="7" t="n">
        <f aca="false">Cleaned_Feedback!D118</f>
        <v>9</v>
      </c>
      <c r="F118" s="7" t="str">
        <f aca="false">Cleaned_Feedback!E118</f>
        <v>Amazing team</v>
      </c>
      <c r="G118" s="7" t="n">
        <f aca="false">Cleaned_Feedback!F118</f>
        <v>30</v>
      </c>
      <c r="H118" s="7" t="str">
        <f aca="false">IF(ISNUMBER(E118),IF(E118&gt;=4,"High","Low"),"N/A")</f>
        <v>High</v>
      </c>
      <c r="I118" s="7" t="n">
        <f aca="false">IFERROR(HOUR(C118),"N/A")</f>
        <v>17</v>
      </c>
    </row>
    <row r="119" customFormat="false" ht="15" hidden="false" customHeight="true" outlineLevel="0" collapsed="false">
      <c r="A119" s="7" t="str">
        <f aca="false">Cleaned_Feedback!B119</f>
        <v>P22612</v>
      </c>
      <c r="B119" s="10" t="n">
        <f aca="false">IFERROR(VLOOKUP(A119,Cleaned_Appointment!$B:$G,4,FALSE()),"N/A")</f>
        <v>45449</v>
      </c>
      <c r="C119" s="11" t="n">
        <f aca="false">IFERROR(VLOOKUP(A119,Cleaned_Appointment!$B:$G,5,FALSE()),"N/A")</f>
        <v>0.708333333333333</v>
      </c>
      <c r="D119" s="7" t="str">
        <f aca="false">Cleaned_Feedback!C119</f>
        <v>Orthopedics</v>
      </c>
      <c r="E119" s="7" t="n">
        <f aca="false">Cleaned_Feedback!D119</f>
        <v>9</v>
      </c>
      <c r="F119" s="7" t="str">
        <f aca="false">Cleaned_Feedback!E119</f>
        <v>Good service</v>
      </c>
      <c r="G119" s="7" t="n">
        <f aca="false">Cleaned_Feedback!F119</f>
        <v>30</v>
      </c>
      <c r="H119" s="7" t="str">
        <f aca="false">IF(ISNUMBER(E119),IF(E119&gt;=4,"High","Low"),"N/A")</f>
        <v>High</v>
      </c>
      <c r="I119" s="7" t="n">
        <f aca="false">IFERROR(HOUR(C119),"N/A")</f>
        <v>17</v>
      </c>
    </row>
    <row r="120" customFormat="false" ht="15" hidden="false" customHeight="true" outlineLevel="0" collapsed="false">
      <c r="A120" s="7" t="str">
        <f aca="false">Cleaned_Feedback!B120</f>
        <v>P10983</v>
      </c>
      <c r="B120" s="10" t="n">
        <f aca="false">IFERROR(VLOOKUP(A120,Cleaned_Appointment!$B:$G,4,FALSE()),"N/A")</f>
        <v>45379</v>
      </c>
      <c r="C120" s="11" t="n">
        <f aca="false">IFERROR(VLOOKUP(A120,Cleaned_Appointment!$B:$G,5,FALSE()),"N/A")</f>
        <v>0.708333333333333</v>
      </c>
      <c r="D120" s="7" t="str">
        <f aca="false">Cleaned_Feedback!C120</f>
        <v>Neurology</v>
      </c>
      <c r="E120" s="7" t="n">
        <f aca="false">Cleaned_Feedback!D120</f>
        <v>7</v>
      </c>
      <c r="F120" s="7" t="str">
        <f aca="false">Cleaned_Feedback!E120</f>
        <v>Helpful staff</v>
      </c>
      <c r="G120" s="7" t="n">
        <f aca="false">Cleaned_Feedback!F120</f>
        <v>45</v>
      </c>
      <c r="H120" s="7" t="str">
        <f aca="false">IF(ISNUMBER(E120),IF(E120&gt;=4,"High","Low"),"N/A")</f>
        <v>High</v>
      </c>
      <c r="I120" s="7" t="n">
        <f aca="false">IFERROR(HOUR(C120),"N/A")</f>
        <v>17</v>
      </c>
    </row>
    <row r="121" customFormat="false" ht="15" hidden="false" customHeight="true" outlineLevel="0" collapsed="false">
      <c r="A121" s="7" t="str">
        <f aca="false">Cleaned_Feedback!B121</f>
        <v>P61404</v>
      </c>
      <c r="B121" s="10" t="n">
        <f aca="false">IFERROR(VLOOKUP(A121,Cleaned_Appointment!$B:$G,4,FALSE()),"N/A")</f>
        <v>45482</v>
      </c>
      <c r="C121" s="11" t="n">
        <f aca="false">IFERROR(VLOOKUP(A121,Cleaned_Appointment!$B:$G,5,FALSE()),"N/A")</f>
        <v>0.479166666666667</v>
      </c>
      <c r="D121" s="7" t="str">
        <f aca="false">Cleaned_Feedback!C121</f>
        <v>Cardiology</v>
      </c>
      <c r="E121" s="7" t="n">
        <f aca="false">Cleaned_Feedback!D121</f>
        <v>8</v>
      </c>
      <c r="F121" s="7" t="str">
        <f aca="false">Cleaned_Feedback!E121</f>
        <v>Efficient process</v>
      </c>
      <c r="G121" s="7" t="n">
        <f aca="false">Cleaned_Feedback!F121</f>
        <v>45</v>
      </c>
      <c r="H121" s="7" t="str">
        <f aca="false">IF(ISNUMBER(E121),IF(E121&gt;=4,"High","Low"),"N/A")</f>
        <v>High</v>
      </c>
      <c r="I121" s="7" t="n">
        <f aca="false">IFERROR(HOUR(C121),"N/A")</f>
        <v>11</v>
      </c>
    </row>
    <row r="122" customFormat="false" ht="15" hidden="false" customHeight="true" outlineLevel="0" collapsed="false">
      <c r="A122" s="7" t="str">
        <f aca="false">Cleaned_Feedback!B122</f>
        <v>P68408</v>
      </c>
      <c r="B122" s="10" t="n">
        <f aca="false">IFERROR(VLOOKUP(A122,Cleaned_Appointment!$B:$G,4,FALSE()),"N/A")</f>
        <v>45545</v>
      </c>
      <c r="C122" s="11" t="n">
        <f aca="false">IFERROR(VLOOKUP(A122,Cleaned_Appointment!$B:$G,5,FALSE()),"N/A")</f>
        <v>0.5</v>
      </c>
      <c r="D122" s="7" t="str">
        <f aca="false">Cleaned_Feedback!C122</f>
        <v>Neurology</v>
      </c>
      <c r="E122" s="7" t="n">
        <f aca="false">Cleaned_Feedback!D122</f>
        <v>8</v>
      </c>
      <c r="F122" s="7" t="str">
        <f aca="false">Cleaned_Feedback!E122</f>
        <v>Great doctors</v>
      </c>
      <c r="G122" s="7" t="n">
        <f aca="false">Cleaned_Feedback!F122</f>
        <v>45</v>
      </c>
      <c r="H122" s="7" t="str">
        <f aca="false">IF(ISNUMBER(E122),IF(E122&gt;=4,"High","Low"),"N/A")</f>
        <v>High</v>
      </c>
      <c r="I122" s="7" t="n">
        <f aca="false">IFERROR(HOUR(C122),"N/A")</f>
        <v>12</v>
      </c>
    </row>
    <row r="123" customFormat="false" ht="15" hidden="false" customHeight="true" outlineLevel="0" collapsed="false">
      <c r="A123" s="7" t="str">
        <f aca="false">Cleaned_Feedback!B123</f>
        <v>P80709</v>
      </c>
      <c r="B123" s="10" t="n">
        <f aca="false">IFERROR(VLOOKUP(A123,Cleaned_Appointment!$B:$G,4,FALSE()),"N/A")</f>
        <v>45515</v>
      </c>
      <c r="C123" s="11" t="n">
        <f aca="false">IFERROR(VLOOKUP(A123,Cleaned_Appointment!$B:$G,5,FALSE()),"N/A")</f>
        <v>0.645833333333333</v>
      </c>
      <c r="D123" s="7" t="str">
        <f aca="false">Cleaned_Feedback!C123</f>
        <v>Cardiology</v>
      </c>
      <c r="E123" s="7" t="n">
        <f aca="false">Cleaned_Feedback!D123</f>
        <v>4</v>
      </c>
      <c r="F123" s="7" t="str">
        <f aca="false">Cleaned_Feedback!E123</f>
        <v>Delayed response</v>
      </c>
      <c r="G123" s="7" t="n">
        <f aca="false">Cleaned_Feedback!F123</f>
        <v>45</v>
      </c>
      <c r="H123" s="7" t="str">
        <f aca="false">IF(ISNUMBER(E123),IF(E123&gt;=4,"High","Low"),"N/A")</f>
        <v>High</v>
      </c>
      <c r="I123" s="7" t="n">
        <f aca="false">IFERROR(HOUR(C123),"N/A")</f>
        <v>15</v>
      </c>
    </row>
    <row r="124" customFormat="false" ht="15" hidden="false" customHeight="true" outlineLevel="0" collapsed="false">
      <c r="A124" s="7" t="str">
        <f aca="false">Cleaned_Feedback!B124</f>
        <v>P22483</v>
      </c>
      <c r="B124" s="10" t="n">
        <f aca="false">IFERROR(VLOOKUP(A124,Cleaned_Appointment!$B:$G,4,FALSE()),"N/A")</f>
        <v>45423</v>
      </c>
      <c r="C124" s="11" t="n">
        <f aca="false">IFERROR(VLOOKUP(A124,Cleaned_Appointment!$B:$G,5,FALSE()),"N/A")</f>
        <v>0.583333333333333</v>
      </c>
      <c r="D124" s="7" t="str">
        <f aca="false">Cleaned_Feedback!C124</f>
        <v>Orthopedics</v>
      </c>
      <c r="E124" s="7" t="n">
        <f aca="false">Cleaned_Feedback!D124</f>
        <v>3</v>
      </c>
      <c r="F124" s="7" t="str">
        <f aca="false">Cleaned_Feedback!E124</f>
        <v>Long wait times</v>
      </c>
      <c r="G124" s="7" t="n">
        <f aca="false">Cleaned_Feedback!F124</f>
        <v>45</v>
      </c>
      <c r="H124" s="7" t="str">
        <f aca="false">IF(ISNUMBER(E124),IF(E124&gt;=4,"High","Low"),"N/A")</f>
        <v>Low</v>
      </c>
      <c r="I124" s="7" t="n">
        <f aca="false">IFERROR(HOUR(C124),"N/A")</f>
        <v>14</v>
      </c>
    </row>
    <row r="125" customFormat="false" ht="15" hidden="false" customHeight="true" outlineLevel="0" collapsed="false">
      <c r="A125" s="7" t="str">
        <f aca="false">Cleaned_Feedback!B125</f>
        <v>P29433</v>
      </c>
      <c r="B125" s="10" t="n">
        <f aca="false">IFERROR(VLOOKUP(A125,Cleaned_Appointment!$B:$G,4,FALSE()),"N/A")</f>
        <v>45582</v>
      </c>
      <c r="C125" s="11" t="n">
        <f aca="false">IFERROR(VLOOKUP(A125,Cleaned_Appointment!$B:$G,5,FALSE()),"N/A")</f>
        <v>0.5625</v>
      </c>
      <c r="D125" s="7" t="str">
        <f aca="false">Cleaned_Feedback!C125</f>
        <v>General Medicine</v>
      </c>
      <c r="E125" s="7" t="n">
        <f aca="false">Cleaned_Feedback!D125</f>
        <v>4</v>
      </c>
      <c r="F125" s="7" t="str">
        <f aca="false">Cleaned_Feedback!E125</f>
        <v>Delayed response</v>
      </c>
      <c r="G125" s="7" t="n">
        <f aca="false">Cleaned_Feedback!F125</f>
        <v>45</v>
      </c>
      <c r="H125" s="7" t="str">
        <f aca="false">IF(ISNUMBER(E125),IF(E125&gt;=4,"High","Low"),"N/A")</f>
        <v>High</v>
      </c>
      <c r="I125" s="7" t="n">
        <f aca="false">IFERROR(HOUR(C125),"N/A")</f>
        <v>13</v>
      </c>
    </row>
    <row r="126" customFormat="false" ht="15" hidden="false" customHeight="true" outlineLevel="0" collapsed="false">
      <c r="A126" s="7" t="str">
        <f aca="false">Cleaned_Feedback!B126</f>
        <v>P63392</v>
      </c>
      <c r="B126" s="10" t="n">
        <f aca="false">IFERROR(VLOOKUP(A126,Cleaned_Appointment!$B:$G,4,FALSE()),"N/A")</f>
        <v>45324</v>
      </c>
      <c r="C126" s="11" t="n">
        <f aca="false">IFERROR(VLOOKUP(A126,Cleaned_Appointment!$B:$G,5,FALSE()),"N/A")</f>
        <v>0.625</v>
      </c>
      <c r="D126" s="7" t="str">
        <f aca="false">Cleaned_Feedback!C126</f>
        <v>Orthopedics</v>
      </c>
      <c r="E126" s="7" t="n">
        <f aca="false">Cleaned_Feedback!D126</f>
        <v>7</v>
      </c>
      <c r="F126" s="7" t="str">
        <f aca="false">Cleaned_Feedback!E126</f>
        <v>Satisfactory</v>
      </c>
      <c r="G126" s="7" t="n">
        <f aca="false">Cleaned_Feedback!F126</f>
        <v>45</v>
      </c>
      <c r="H126" s="7" t="str">
        <f aca="false">IF(ISNUMBER(E126),IF(E126&gt;=4,"High","Low"),"N/A")</f>
        <v>High</v>
      </c>
      <c r="I126" s="7" t="n">
        <f aca="false">IFERROR(HOUR(C126),"N/A")</f>
        <v>15</v>
      </c>
    </row>
    <row r="127" customFormat="false" ht="15" hidden="false" customHeight="true" outlineLevel="0" collapsed="false">
      <c r="A127" s="7" t="str">
        <f aca="false">Cleaned_Feedback!B127</f>
        <v>P24186</v>
      </c>
      <c r="B127" s="10" t="n">
        <f aca="false">IFERROR(VLOOKUP(A127,Cleaned_Appointment!$B:$G,4,FALSE()),"N/A")</f>
        <v>45627</v>
      </c>
      <c r="C127" s="11" t="n">
        <f aca="false">IFERROR(VLOOKUP(A127,Cleaned_Appointment!$B:$G,5,FALSE()),"N/A")</f>
        <v>0.645833333333333</v>
      </c>
      <c r="D127" s="7" t="str">
        <f aca="false">Cleaned_Feedback!C127</f>
        <v>General Medicine</v>
      </c>
      <c r="E127" s="7" t="n">
        <f aca="false">Cleaned_Feedback!D127</f>
        <v>7</v>
      </c>
      <c r="F127" s="7" t="str">
        <f aca="false">Cleaned_Feedback!E127</f>
        <v>Helpful staff</v>
      </c>
      <c r="G127" s="7" t="n">
        <f aca="false">Cleaned_Feedback!F127</f>
        <v>45</v>
      </c>
      <c r="H127" s="7" t="str">
        <f aca="false">IF(ISNUMBER(E127),IF(E127&gt;=4,"High","Low"),"N/A")</f>
        <v>High</v>
      </c>
      <c r="I127" s="7" t="n">
        <f aca="false">IFERROR(HOUR(C127),"N/A")</f>
        <v>15</v>
      </c>
    </row>
    <row r="128" customFormat="false" ht="15" hidden="false" customHeight="true" outlineLevel="0" collapsed="false">
      <c r="A128" s="7" t="str">
        <f aca="false">Cleaned_Feedback!B128</f>
        <v>P12075</v>
      </c>
      <c r="B128" s="10" t="n">
        <f aca="false">IFERROR(VLOOKUP(A128,Cleaned_Appointment!$B:$G,4,FALSE()),"N/A")</f>
        <v>45568</v>
      </c>
      <c r="C128" s="11" t="n">
        <f aca="false">IFERROR(VLOOKUP(A128,Cleaned_Appointment!$B:$G,5,FALSE()),"N/A")</f>
        <v>0.375</v>
      </c>
      <c r="D128" s="7" t="str">
        <f aca="false">Cleaned_Feedback!C128</f>
        <v>Pediatric</v>
      </c>
      <c r="E128" s="7" t="n">
        <f aca="false">Cleaned_Feedback!D128</f>
        <v>4</v>
      </c>
      <c r="F128" s="7" t="str">
        <f aca="false">Cleaned_Feedback!E128</f>
        <v>Delayed response</v>
      </c>
      <c r="G128" s="7" t="n">
        <f aca="false">Cleaned_Feedback!F128</f>
        <v>45</v>
      </c>
      <c r="H128" s="7" t="str">
        <f aca="false">IF(ISNUMBER(E128),IF(E128&gt;=4,"High","Low"),"N/A")</f>
        <v>High</v>
      </c>
      <c r="I128" s="7" t="n">
        <f aca="false">IFERROR(HOUR(C128),"N/A")</f>
        <v>9</v>
      </c>
    </row>
    <row r="129" customFormat="false" ht="15" hidden="false" customHeight="true" outlineLevel="0" collapsed="false">
      <c r="A129" s="7" t="str">
        <f aca="false">Cleaned_Feedback!B129</f>
        <v>P80770</v>
      </c>
      <c r="B129" s="10" t="n">
        <f aca="false">IFERROR(VLOOKUP(A129,Cleaned_Appointment!$B:$G,4,FALSE()),"N/A")</f>
        <v>45368</v>
      </c>
      <c r="C129" s="11" t="n">
        <f aca="false">IFERROR(VLOOKUP(A129,Cleaned_Appointment!$B:$G,5,FALSE()),"N/A")</f>
        <v>0.375</v>
      </c>
      <c r="D129" s="7" t="str">
        <f aca="false">Cleaned_Feedback!C129</f>
        <v>Oncology</v>
      </c>
      <c r="E129" s="7" t="n">
        <f aca="false">Cleaned_Feedback!D129</f>
        <v>9</v>
      </c>
      <c r="F129" s="7" t="str">
        <f aca="false">Cleaned_Feedback!E129</f>
        <v>Highly recommended</v>
      </c>
      <c r="G129" s="7" t="n">
        <f aca="false">Cleaned_Feedback!F129</f>
        <v>30</v>
      </c>
      <c r="H129" s="7" t="str">
        <f aca="false">IF(ISNUMBER(E129),IF(E129&gt;=4,"High","Low"),"N/A")</f>
        <v>High</v>
      </c>
      <c r="I129" s="7" t="n">
        <f aca="false">IFERROR(HOUR(C129),"N/A")</f>
        <v>9</v>
      </c>
    </row>
    <row r="130" customFormat="false" ht="15" hidden="false" customHeight="true" outlineLevel="0" collapsed="false">
      <c r="A130" s="7" t="str">
        <f aca="false">Cleaned_Feedback!B130</f>
        <v>P17033</v>
      </c>
      <c r="B130" s="10" t="n">
        <f aca="false">IFERROR(VLOOKUP(A130,Cleaned_Appointment!$B:$G,4,FALSE()),"N/A")</f>
        <v>45537</v>
      </c>
      <c r="C130" s="11" t="n">
        <f aca="false">IFERROR(VLOOKUP(A130,Cleaned_Appointment!$B:$G,5,FALSE()),"N/A")</f>
        <v>0.520833333333333</v>
      </c>
      <c r="D130" s="7" t="str">
        <f aca="false">Cleaned_Feedback!C130</f>
        <v>Orthopedics</v>
      </c>
      <c r="E130" s="7" t="n">
        <f aca="false">Cleaned_Feedback!D130</f>
        <v>3</v>
      </c>
      <c r="F130" s="7" t="str">
        <f aca="false">Cleaned_Feedback!E130</f>
        <v>Long wait times</v>
      </c>
      <c r="G130" s="7" t="n">
        <f aca="false">Cleaned_Feedback!F130</f>
        <v>45</v>
      </c>
      <c r="H130" s="7" t="str">
        <f aca="false">IF(ISNUMBER(E130),IF(E130&gt;=4,"High","Low"),"N/A")</f>
        <v>Low</v>
      </c>
      <c r="I130" s="7" t="n">
        <f aca="false">IFERROR(HOUR(C130),"N/A")</f>
        <v>12</v>
      </c>
    </row>
    <row r="131" customFormat="false" ht="15" hidden="false" customHeight="true" outlineLevel="0" collapsed="false">
      <c r="A131" s="7" t="str">
        <f aca="false">Cleaned_Feedback!B131</f>
        <v>P53406</v>
      </c>
      <c r="B131" s="10" t="n">
        <f aca="false">IFERROR(VLOOKUP(A131,Cleaned_Appointment!$B:$G,4,FALSE()),"N/A")</f>
        <v>45492</v>
      </c>
      <c r="C131" s="11" t="n">
        <f aca="false">IFERROR(VLOOKUP(A131,Cleaned_Appointment!$B:$G,5,FALSE()),"N/A")</f>
        <v>0.729166666666667</v>
      </c>
      <c r="D131" s="7" t="str">
        <f aca="false">Cleaned_Feedback!C131</f>
        <v>Cardiology</v>
      </c>
      <c r="E131" s="7" t="n">
        <f aca="false">Cleaned_Feedback!D131</f>
        <v>3</v>
      </c>
      <c r="F131" s="7" t="str">
        <f aca="false">Cleaned_Feedback!E131</f>
        <v>Long wait times</v>
      </c>
      <c r="G131" s="7" t="n">
        <f aca="false">Cleaned_Feedback!F131</f>
        <v>45</v>
      </c>
      <c r="H131" s="7" t="str">
        <f aca="false">IF(ISNUMBER(E131),IF(E131&gt;=4,"High","Low"),"N/A")</f>
        <v>Low</v>
      </c>
      <c r="I131" s="7" t="n">
        <f aca="false">IFERROR(HOUR(C131),"N/A")</f>
        <v>17</v>
      </c>
    </row>
    <row r="132" customFormat="false" ht="15" hidden="false" customHeight="true" outlineLevel="0" collapsed="false">
      <c r="A132" s="7" t="str">
        <f aca="false">Cleaned_Feedback!B132</f>
        <v>P74577</v>
      </c>
      <c r="B132" s="10" t="n">
        <f aca="false">IFERROR(VLOOKUP(A132,Cleaned_Appointment!$B:$G,4,FALSE()),"N/A")</f>
        <v>45558</v>
      </c>
      <c r="C132" s="11" t="n">
        <f aca="false">IFERROR(VLOOKUP(A132,Cleaned_Appointment!$B:$G,5,FALSE()),"N/A")</f>
        <v>0.416666666666667</v>
      </c>
      <c r="D132" s="7" t="str">
        <f aca="false">Cleaned_Feedback!C132</f>
        <v>Oncology</v>
      </c>
      <c r="E132" s="7" t="n">
        <f aca="false">Cleaned_Feedback!D132</f>
        <v>8</v>
      </c>
      <c r="F132" s="7" t="str">
        <f aca="false">Cleaned_Feedback!E132</f>
        <v>Efficient process</v>
      </c>
      <c r="G132" s="7" t="n">
        <f aca="false">Cleaned_Feedback!F132</f>
        <v>45</v>
      </c>
      <c r="H132" s="7" t="str">
        <f aca="false">IF(ISNUMBER(E132),IF(E132&gt;=4,"High","Low"),"N/A")</f>
        <v>High</v>
      </c>
      <c r="I132" s="7" t="n">
        <f aca="false">IFERROR(HOUR(C132),"N/A")</f>
        <v>10</v>
      </c>
    </row>
    <row r="133" customFormat="false" ht="15" hidden="false" customHeight="true" outlineLevel="0" collapsed="false">
      <c r="A133" s="7" t="str">
        <f aca="false">Cleaned_Feedback!B133</f>
        <v>P54686</v>
      </c>
      <c r="B133" s="10" t="n">
        <f aca="false">IFERROR(VLOOKUP(A133,Cleaned_Appointment!$B:$G,4,FALSE()),"N/A")</f>
        <v>45502</v>
      </c>
      <c r="C133" s="11" t="n">
        <f aca="false">IFERROR(VLOOKUP(A133,Cleaned_Appointment!$B:$G,5,FALSE()),"N/A")</f>
        <v>0.541666666666667</v>
      </c>
      <c r="D133" s="7" t="str">
        <f aca="false">Cleaned_Feedback!C133</f>
        <v>Cardiology</v>
      </c>
      <c r="E133" s="7" t="n">
        <f aca="false">Cleaned_Feedback!D133</f>
        <v>9</v>
      </c>
      <c r="F133" s="7" t="str">
        <f aca="false">Cleaned_Feedback!E133</f>
        <v>Amazing team</v>
      </c>
      <c r="G133" s="7" t="n">
        <f aca="false">Cleaned_Feedback!F133</f>
        <v>30</v>
      </c>
      <c r="H133" s="7" t="str">
        <f aca="false">IF(ISNUMBER(E133),IF(E133&gt;=4,"High","Low"),"N/A")</f>
        <v>High</v>
      </c>
      <c r="I133" s="7" t="n">
        <f aca="false">IFERROR(HOUR(C133),"N/A")</f>
        <v>13</v>
      </c>
    </row>
    <row r="134" customFormat="false" ht="15" hidden="false" customHeight="true" outlineLevel="0" collapsed="false">
      <c r="A134" s="7" t="str">
        <f aca="false">Cleaned_Feedback!B134</f>
        <v>P15042</v>
      </c>
      <c r="B134" s="10" t="n">
        <f aca="false">IFERROR(VLOOKUP(A134,Cleaned_Appointment!$B:$G,4,FALSE()),"N/A")</f>
        <v>45367</v>
      </c>
      <c r="C134" s="11" t="n">
        <f aca="false">IFERROR(VLOOKUP(A134,Cleaned_Appointment!$B:$G,5,FALSE()),"N/A")</f>
        <v>0.729166666666667</v>
      </c>
      <c r="D134" s="7" t="str">
        <f aca="false">Cleaned_Feedback!C134</f>
        <v>N/A</v>
      </c>
      <c r="E134" s="7" t="n">
        <f aca="false">Cleaned_Feedback!D134</f>
        <v>5</v>
      </c>
      <c r="F134" s="7" t="str">
        <f aca="false">Cleaned_Feedback!E134</f>
        <v>N/A</v>
      </c>
      <c r="G134" s="7" t="n">
        <f aca="false">Cleaned_Feedback!F134</f>
        <v>45</v>
      </c>
      <c r="H134" s="7" t="str">
        <f aca="false">IF(ISNUMBER(E134),IF(E134&gt;=4,"High","Low"),"N/A")</f>
        <v>High</v>
      </c>
      <c r="I134" s="7" t="n">
        <f aca="false">IFERROR(HOUR(C134),"N/A")</f>
        <v>17</v>
      </c>
    </row>
    <row r="135" customFormat="false" ht="15" hidden="false" customHeight="true" outlineLevel="0" collapsed="false">
      <c r="A135" s="7" t="str">
        <f aca="false">Cleaned_Feedback!B135</f>
        <v>P66658</v>
      </c>
      <c r="B135" s="10" t="n">
        <f aca="false">IFERROR(VLOOKUP(A135,Cleaned_Appointment!$B:$G,4,FALSE()),"N/A")</f>
        <v>45634</v>
      </c>
      <c r="C135" s="11" t="n">
        <f aca="false">IFERROR(VLOOKUP(A135,Cleaned_Appointment!$B:$G,5,FALSE()),"N/A")</f>
        <v>0.604166666666667</v>
      </c>
      <c r="D135" s="7" t="str">
        <f aca="false">Cleaned_Feedback!C135</f>
        <v>Oncology</v>
      </c>
      <c r="E135" s="7" t="n">
        <f aca="false">Cleaned_Feedback!D135</f>
        <v>9</v>
      </c>
      <c r="F135" s="7" t="str">
        <f aca="false">Cleaned_Feedback!E135</f>
        <v>Amazing team</v>
      </c>
      <c r="G135" s="7" t="n">
        <f aca="false">Cleaned_Feedback!F135</f>
        <v>30</v>
      </c>
      <c r="H135" s="7" t="str">
        <f aca="false">IF(ISNUMBER(E135),IF(E135&gt;=4,"High","Low"),"N/A")</f>
        <v>High</v>
      </c>
      <c r="I135" s="7" t="n">
        <f aca="false">IFERROR(HOUR(C135),"N/A")</f>
        <v>14</v>
      </c>
    </row>
    <row r="136" customFormat="false" ht="15" hidden="false" customHeight="true" outlineLevel="0" collapsed="false">
      <c r="A136" s="7" t="str">
        <f aca="false">Cleaned_Feedback!B136</f>
        <v>P46158</v>
      </c>
      <c r="B136" s="10" t="n">
        <f aca="false">IFERROR(VLOOKUP(A136,Cleaned_Appointment!$B:$G,4,FALSE()),"N/A")</f>
        <v>45465</v>
      </c>
      <c r="C136" s="11" t="n">
        <f aca="false">IFERROR(VLOOKUP(A136,Cleaned_Appointment!$B:$G,5,FALSE()),"N/A")</f>
        <v>0.458333333333333</v>
      </c>
      <c r="D136" s="7" t="str">
        <f aca="false">Cleaned_Feedback!C136</f>
        <v>Cardiology</v>
      </c>
      <c r="E136" s="7" t="n">
        <f aca="false">Cleaned_Feedback!D136</f>
        <v>9</v>
      </c>
      <c r="F136" s="7" t="str">
        <f aca="false">Cleaned_Feedback!E136</f>
        <v>Highly recommended</v>
      </c>
      <c r="G136" s="7" t="n">
        <f aca="false">Cleaned_Feedback!F136</f>
        <v>30</v>
      </c>
      <c r="H136" s="7" t="str">
        <f aca="false">IF(ISNUMBER(E136),IF(E136&gt;=4,"High","Low"),"N/A")</f>
        <v>High</v>
      </c>
      <c r="I136" s="7" t="n">
        <f aca="false">IFERROR(HOUR(C136),"N/A")</f>
        <v>11</v>
      </c>
    </row>
    <row r="137" customFormat="false" ht="15" hidden="false" customHeight="true" outlineLevel="0" collapsed="false">
      <c r="A137" s="7" t="str">
        <f aca="false">Cleaned_Feedback!B137</f>
        <v>P47910</v>
      </c>
      <c r="B137" s="10" t="n">
        <f aca="false">IFERROR(VLOOKUP(A137,Cleaned_Appointment!$B:$G,4,FALSE()),"N/A")</f>
        <v>45443</v>
      </c>
      <c r="C137" s="11" t="n">
        <f aca="false">IFERROR(VLOOKUP(A137,Cleaned_Appointment!$B:$G,5,FALSE()),"N/A")</f>
        <v>0.770833333333333</v>
      </c>
      <c r="D137" s="7" t="str">
        <f aca="false">Cleaned_Feedback!C137</f>
        <v>Orthopedics</v>
      </c>
      <c r="E137" s="7" t="n">
        <f aca="false">Cleaned_Feedback!D137</f>
        <v>8</v>
      </c>
      <c r="F137" s="7" t="str">
        <f aca="false">Cleaned_Feedback!E137</f>
        <v>Efficient process</v>
      </c>
      <c r="G137" s="7" t="n">
        <f aca="false">Cleaned_Feedback!F137</f>
        <v>45</v>
      </c>
      <c r="H137" s="7" t="str">
        <f aca="false">IF(ISNUMBER(E137),IF(E137&gt;=4,"High","Low"),"N/A")</f>
        <v>High</v>
      </c>
      <c r="I137" s="7" t="n">
        <f aca="false">IFERROR(HOUR(C137),"N/A")</f>
        <v>18</v>
      </c>
    </row>
    <row r="138" customFormat="false" ht="15" hidden="false" customHeight="true" outlineLevel="0" collapsed="false">
      <c r="A138" s="7" t="str">
        <f aca="false">Cleaned_Feedback!B138</f>
        <v>P69894</v>
      </c>
      <c r="B138" s="10" t="n">
        <f aca="false">IFERROR(VLOOKUP(A138,Cleaned_Appointment!$B:$G,4,FALSE()),"N/A")</f>
        <v>45443</v>
      </c>
      <c r="C138" s="11" t="n">
        <f aca="false">IFERROR(VLOOKUP(A138,Cleaned_Appointment!$B:$G,5,FALSE()),"N/A")</f>
        <v>0.729166666666667</v>
      </c>
      <c r="D138" s="7" t="str">
        <f aca="false">Cleaned_Feedback!C138</f>
        <v>Pediatric</v>
      </c>
      <c r="E138" s="7" t="n">
        <f aca="false">Cleaned_Feedback!D138</f>
        <v>9</v>
      </c>
      <c r="F138" s="7" t="str">
        <f aca="false">Cleaned_Feedback!E138</f>
        <v>Good service</v>
      </c>
      <c r="G138" s="7" t="n">
        <f aca="false">Cleaned_Feedback!F138</f>
        <v>30</v>
      </c>
      <c r="H138" s="7" t="str">
        <f aca="false">IF(ISNUMBER(E138),IF(E138&gt;=4,"High","Low"),"N/A")</f>
        <v>High</v>
      </c>
      <c r="I138" s="7" t="n">
        <f aca="false">IFERROR(HOUR(C138),"N/A")</f>
        <v>17</v>
      </c>
    </row>
    <row r="139" customFormat="false" ht="15" hidden="false" customHeight="true" outlineLevel="0" collapsed="false">
      <c r="A139" s="7" t="str">
        <f aca="false">Cleaned_Feedback!B139</f>
        <v>P86247</v>
      </c>
      <c r="B139" s="10" t="n">
        <f aca="false">IFERROR(VLOOKUP(A139,Cleaned_Appointment!$B:$G,4,FALSE()),"N/A")</f>
        <v>45318</v>
      </c>
      <c r="C139" s="11" t="n">
        <f aca="false">IFERROR(VLOOKUP(A139,Cleaned_Appointment!$B:$G,5,FALSE()),"N/A")</f>
        <v>0.416666666666667</v>
      </c>
      <c r="D139" s="7" t="str">
        <f aca="false">Cleaned_Feedback!C139</f>
        <v>Pediatric</v>
      </c>
      <c r="E139" s="7" t="n">
        <f aca="false">Cleaned_Feedback!D139</f>
        <v>5</v>
      </c>
      <c r="F139" s="7" t="str">
        <f aca="false">Cleaned_Feedback!E139</f>
        <v>Average</v>
      </c>
      <c r="G139" s="7" t="n">
        <f aca="false">Cleaned_Feedback!F139</f>
        <v>45</v>
      </c>
      <c r="H139" s="7" t="str">
        <f aca="false">IF(ISNUMBER(E139),IF(E139&gt;=4,"High","Low"),"N/A")</f>
        <v>High</v>
      </c>
      <c r="I139" s="7" t="n">
        <f aca="false">IFERROR(HOUR(C139),"N/A")</f>
        <v>10</v>
      </c>
    </row>
    <row r="140" customFormat="false" ht="15" hidden="false" customHeight="true" outlineLevel="0" collapsed="false">
      <c r="A140" s="7" t="str">
        <f aca="false">Cleaned_Feedback!B140</f>
        <v>P38330</v>
      </c>
      <c r="B140" s="10" t="n">
        <f aca="false">IFERROR(VLOOKUP(A140,Cleaned_Appointment!$B:$G,4,FALSE()),"N/A")</f>
        <v>45428</v>
      </c>
      <c r="C140" s="11" t="n">
        <f aca="false">IFERROR(VLOOKUP(A140,Cleaned_Appointment!$B:$G,5,FALSE()),"N/A")</f>
        <v>0.770833333333333</v>
      </c>
      <c r="D140" s="7" t="str">
        <f aca="false">Cleaned_Feedback!C140</f>
        <v>Pediatric</v>
      </c>
      <c r="E140" s="7" t="n">
        <f aca="false">Cleaned_Feedback!D140</f>
        <v>3</v>
      </c>
      <c r="F140" s="7" t="str">
        <f aca="false">Cleaned_Feedback!E140</f>
        <v>Needs improvement</v>
      </c>
      <c r="G140" s="7" t="n">
        <f aca="false">Cleaned_Feedback!F140</f>
        <v>45</v>
      </c>
      <c r="H140" s="7" t="str">
        <f aca="false">IF(ISNUMBER(E140),IF(E140&gt;=4,"High","Low"),"N/A")</f>
        <v>Low</v>
      </c>
      <c r="I140" s="7" t="n">
        <f aca="false">IFERROR(HOUR(C140),"N/A")</f>
        <v>18</v>
      </c>
    </row>
    <row r="141" customFormat="false" ht="15" hidden="false" customHeight="true" outlineLevel="0" collapsed="false">
      <c r="A141" s="7" t="str">
        <f aca="false">Cleaned_Feedback!B141</f>
        <v>P42193</v>
      </c>
      <c r="B141" s="10" t="n">
        <f aca="false">IFERROR(VLOOKUP(A141,Cleaned_Appointment!$B:$G,4,FALSE()),"N/A")</f>
        <v>45305</v>
      </c>
      <c r="C141" s="11" t="n">
        <f aca="false">IFERROR(VLOOKUP(A141,Cleaned_Appointment!$B:$G,5,FALSE()),"N/A")</f>
        <v>0.5</v>
      </c>
      <c r="D141" s="7" t="str">
        <f aca="false">Cleaned_Feedback!C141</f>
        <v>General Medicine</v>
      </c>
      <c r="E141" s="7" t="n">
        <f aca="false">Cleaned_Feedback!D141</f>
        <v>8</v>
      </c>
      <c r="F141" s="7" t="str">
        <f aca="false">Cleaned_Feedback!E141</f>
        <v>Efficient process</v>
      </c>
      <c r="G141" s="7" t="n">
        <f aca="false">Cleaned_Feedback!F141</f>
        <v>45</v>
      </c>
      <c r="H141" s="7" t="str">
        <f aca="false">IF(ISNUMBER(E141),IF(E141&gt;=4,"High","Low"),"N/A")</f>
        <v>High</v>
      </c>
      <c r="I141" s="7" t="n">
        <f aca="false">IFERROR(HOUR(C141),"N/A")</f>
        <v>12</v>
      </c>
    </row>
    <row r="142" customFormat="false" ht="15" hidden="false" customHeight="true" outlineLevel="0" collapsed="false">
      <c r="A142" s="7" t="str">
        <f aca="false">Cleaned_Feedback!B142</f>
        <v>P29032</v>
      </c>
      <c r="B142" s="10" t="n">
        <f aca="false">IFERROR(VLOOKUP(A142,Cleaned_Appointment!$B:$G,4,FALSE()),"N/A")</f>
        <v>45574</v>
      </c>
      <c r="C142" s="11" t="n">
        <f aca="false">IFERROR(VLOOKUP(A142,Cleaned_Appointment!$B:$G,5,FALSE()),"N/A")</f>
        <v>0.479166666666667</v>
      </c>
      <c r="D142" s="7" t="str">
        <f aca="false">Cleaned_Feedback!C142</f>
        <v>Pediatric</v>
      </c>
      <c r="E142" s="7" t="n">
        <f aca="false">Cleaned_Feedback!D142</f>
        <v>3</v>
      </c>
      <c r="F142" s="7" t="str">
        <f aca="false">Cleaned_Feedback!E142</f>
        <v>Long wait times</v>
      </c>
      <c r="G142" s="7" t="n">
        <f aca="false">Cleaned_Feedback!F142</f>
        <v>45</v>
      </c>
      <c r="H142" s="7" t="str">
        <f aca="false">IF(ISNUMBER(E142),IF(E142&gt;=4,"High","Low"),"N/A")</f>
        <v>Low</v>
      </c>
      <c r="I142" s="7" t="n">
        <f aca="false">IFERROR(HOUR(C142),"N/A")</f>
        <v>11</v>
      </c>
    </row>
    <row r="143" customFormat="false" ht="15" hidden="false" customHeight="true" outlineLevel="0" collapsed="false">
      <c r="A143" s="7" t="str">
        <f aca="false">Cleaned_Feedback!B143</f>
        <v>P72811</v>
      </c>
      <c r="B143" s="10" t="n">
        <f aca="false">IFERROR(VLOOKUP(A143,Cleaned_Appointment!$B:$G,4,FALSE()),"N/A")</f>
        <v>45406</v>
      </c>
      <c r="C143" s="11" t="n">
        <f aca="false">IFERROR(VLOOKUP(A143,Cleaned_Appointment!$B:$G,5,FALSE()),"N/A")</f>
        <v>0.770833333333333</v>
      </c>
      <c r="D143" s="7" t="str">
        <f aca="false">Cleaned_Feedback!C143</f>
        <v>Orthopedics</v>
      </c>
      <c r="E143" s="7" t="n">
        <f aca="false">Cleaned_Feedback!D143</f>
        <v>3</v>
      </c>
      <c r="F143" s="7" t="str">
        <f aca="false">Cleaned_Feedback!E143</f>
        <v>Needs improvement</v>
      </c>
      <c r="G143" s="7" t="n">
        <f aca="false">Cleaned_Feedback!F143</f>
        <v>45</v>
      </c>
      <c r="H143" s="7" t="str">
        <f aca="false">IF(ISNUMBER(E143),IF(E143&gt;=4,"High","Low"),"N/A")</f>
        <v>Low</v>
      </c>
      <c r="I143" s="7" t="n">
        <f aca="false">IFERROR(HOUR(C143),"N/A")</f>
        <v>18</v>
      </c>
    </row>
    <row r="144" customFormat="false" ht="15" hidden="false" customHeight="true" outlineLevel="0" collapsed="false">
      <c r="A144" s="7" t="str">
        <f aca="false">Cleaned_Feedback!B144</f>
        <v>P96259</v>
      </c>
      <c r="B144" s="10" t="n">
        <f aca="false">IFERROR(VLOOKUP(A144,Cleaned_Appointment!$B:$G,4,FALSE()),"N/A")</f>
        <v>45519</v>
      </c>
      <c r="C144" s="11" t="n">
        <f aca="false">IFERROR(VLOOKUP(A144,Cleaned_Appointment!$B:$G,5,FALSE()),"N/A")</f>
        <v>0.375</v>
      </c>
      <c r="D144" s="7" t="str">
        <f aca="false">Cleaned_Feedback!C144</f>
        <v>Orthopedics</v>
      </c>
      <c r="E144" s="7" t="n">
        <f aca="false">Cleaned_Feedback!D144</f>
        <v>4</v>
      </c>
      <c r="F144" s="7" t="str">
        <f aca="false">Cleaned_Feedback!E144</f>
        <v>Room cleanliness issue</v>
      </c>
      <c r="G144" s="7" t="n">
        <f aca="false">Cleaned_Feedback!F144</f>
        <v>45</v>
      </c>
      <c r="H144" s="7" t="str">
        <f aca="false">IF(ISNUMBER(E144),IF(E144&gt;=4,"High","Low"),"N/A")</f>
        <v>High</v>
      </c>
      <c r="I144" s="7" t="n">
        <f aca="false">IFERROR(HOUR(C144),"N/A")</f>
        <v>9</v>
      </c>
    </row>
    <row r="145" customFormat="false" ht="15" hidden="false" customHeight="true" outlineLevel="0" collapsed="false">
      <c r="A145" s="7" t="str">
        <f aca="false">Cleaned_Feedback!B145</f>
        <v>P44251</v>
      </c>
      <c r="B145" s="10" t="n">
        <f aca="false">IFERROR(VLOOKUP(A145,Cleaned_Appointment!$B:$G,4,FALSE()),"N/A")</f>
        <v>45373</v>
      </c>
      <c r="C145" s="11" t="n">
        <f aca="false">IFERROR(VLOOKUP(A145,Cleaned_Appointment!$B:$G,5,FALSE()),"N/A")</f>
        <v>0.708333333333333</v>
      </c>
      <c r="D145" s="7" t="str">
        <f aca="false">Cleaned_Feedback!C145</f>
        <v>Neurology</v>
      </c>
      <c r="E145" s="7" t="n">
        <f aca="false">Cleaned_Feedback!D145</f>
        <v>4</v>
      </c>
      <c r="F145" s="7" t="str">
        <f aca="false">Cleaned_Feedback!E145</f>
        <v>Room cleanliness issue</v>
      </c>
      <c r="G145" s="7" t="n">
        <f aca="false">Cleaned_Feedback!F145</f>
        <v>45</v>
      </c>
      <c r="H145" s="7" t="str">
        <f aca="false">IF(ISNUMBER(E145),IF(E145&gt;=4,"High","Low"),"N/A")</f>
        <v>High</v>
      </c>
      <c r="I145" s="7" t="n">
        <f aca="false">IFERROR(HOUR(C145),"N/A")</f>
        <v>17</v>
      </c>
    </row>
    <row r="146" customFormat="false" ht="15" hidden="false" customHeight="true" outlineLevel="0" collapsed="false">
      <c r="A146" s="7" t="str">
        <f aca="false">Cleaned_Feedback!B146</f>
        <v>P16884</v>
      </c>
      <c r="B146" s="10" t="n">
        <f aca="false">IFERROR(VLOOKUP(A146,Cleaned_Appointment!$B:$G,4,FALSE()),"N/A")</f>
        <v>45613</v>
      </c>
      <c r="C146" s="11" t="n">
        <f aca="false">IFERROR(VLOOKUP(A146,Cleaned_Appointment!$B:$G,5,FALSE()),"N/A")</f>
        <v>0.5625</v>
      </c>
      <c r="D146" s="7" t="str">
        <f aca="false">Cleaned_Feedback!C146</f>
        <v>Pediatric</v>
      </c>
      <c r="E146" s="7" t="n">
        <f aca="false">Cleaned_Feedback!D146</f>
        <v>8</v>
      </c>
      <c r="F146" s="7" t="str">
        <f aca="false">Cleaned_Feedback!E146</f>
        <v>Efficient process</v>
      </c>
      <c r="G146" s="7" t="n">
        <f aca="false">Cleaned_Feedback!F146</f>
        <v>45</v>
      </c>
      <c r="H146" s="7" t="str">
        <f aca="false">IF(ISNUMBER(E146),IF(E146&gt;=4,"High","Low"),"N/A")</f>
        <v>High</v>
      </c>
      <c r="I146" s="7" t="n">
        <f aca="false">IFERROR(HOUR(C146),"N/A")</f>
        <v>13</v>
      </c>
    </row>
    <row r="147" customFormat="false" ht="15" hidden="false" customHeight="true" outlineLevel="0" collapsed="false">
      <c r="A147" s="7" t="str">
        <f aca="false">Cleaned_Feedback!B147</f>
        <v>P81817</v>
      </c>
      <c r="B147" s="10" t="n">
        <f aca="false">IFERROR(VLOOKUP(A147,Cleaned_Appointment!$B:$G,4,FALSE()),"N/A")</f>
        <v>45335</v>
      </c>
      <c r="C147" s="11" t="n">
        <f aca="false">IFERROR(VLOOKUP(A147,Cleaned_Appointment!$B:$G,5,FALSE()),"N/A")</f>
        <v>0.354166666666667</v>
      </c>
      <c r="D147" s="7" t="str">
        <f aca="false">Cleaned_Feedback!C147</f>
        <v>General Medicine</v>
      </c>
      <c r="E147" s="7" t="n">
        <f aca="false">Cleaned_Feedback!D147</f>
        <v>3</v>
      </c>
      <c r="F147" s="7" t="str">
        <f aca="false">Cleaned_Feedback!E147</f>
        <v>Needs improvement</v>
      </c>
      <c r="G147" s="7" t="n">
        <f aca="false">Cleaned_Feedback!F147</f>
        <v>45</v>
      </c>
      <c r="H147" s="7" t="str">
        <f aca="false">IF(ISNUMBER(E147),IF(E147&gt;=4,"High","Low"),"N/A")</f>
        <v>Low</v>
      </c>
      <c r="I147" s="7" t="n">
        <f aca="false">IFERROR(HOUR(C147),"N/A")</f>
        <v>8</v>
      </c>
    </row>
    <row r="148" customFormat="false" ht="15" hidden="false" customHeight="true" outlineLevel="0" collapsed="false">
      <c r="A148" s="7" t="str">
        <f aca="false">Cleaned_Feedback!B148</f>
        <v>P77843</v>
      </c>
      <c r="B148" s="10" t="n">
        <f aca="false">IFERROR(VLOOKUP(A148,Cleaned_Appointment!$B:$G,4,FALSE()),"N/A")</f>
        <v>45448</v>
      </c>
      <c r="C148" s="11" t="n">
        <f aca="false">IFERROR(VLOOKUP(A148,Cleaned_Appointment!$B:$G,5,FALSE()),"N/A")</f>
        <v>0.520833333333333</v>
      </c>
      <c r="D148" s="7" t="str">
        <f aca="false">Cleaned_Feedback!C148</f>
        <v>Cardiology</v>
      </c>
      <c r="E148" s="7" t="n">
        <f aca="false">Cleaned_Feedback!D148</f>
        <v>9</v>
      </c>
      <c r="F148" s="7" t="str">
        <f aca="false">Cleaned_Feedback!E148</f>
        <v>Good service</v>
      </c>
      <c r="G148" s="7" t="n">
        <f aca="false">Cleaned_Feedback!F148</f>
        <v>30</v>
      </c>
      <c r="H148" s="7" t="str">
        <f aca="false">IF(ISNUMBER(E148),IF(E148&gt;=4,"High","Low"),"N/A")</f>
        <v>High</v>
      </c>
      <c r="I148" s="7" t="n">
        <f aca="false">IFERROR(HOUR(C148),"N/A")</f>
        <v>12</v>
      </c>
    </row>
    <row r="149" customFormat="false" ht="15" hidden="false" customHeight="true" outlineLevel="0" collapsed="false">
      <c r="A149" s="7" t="str">
        <f aca="false">Cleaned_Feedback!B149</f>
        <v>P57937</v>
      </c>
      <c r="B149" s="10" t="n">
        <f aca="false">IFERROR(VLOOKUP(A149,Cleaned_Appointment!$B:$G,4,FALSE()),"N/A")</f>
        <v>45616</v>
      </c>
      <c r="C149" s="11" t="n">
        <f aca="false">IFERROR(VLOOKUP(A149,Cleaned_Appointment!$B:$G,5,FALSE()),"N/A")</f>
        <v>0.583333333333333</v>
      </c>
      <c r="D149" s="7" t="str">
        <f aca="false">Cleaned_Feedback!C149</f>
        <v>Cardiology</v>
      </c>
      <c r="E149" s="7" t="n">
        <f aca="false">Cleaned_Feedback!D149</f>
        <v>8</v>
      </c>
      <c r="F149" s="7" t="str">
        <f aca="false">Cleaned_Feedback!E149</f>
        <v>Great doctors</v>
      </c>
      <c r="G149" s="7" t="n">
        <f aca="false">Cleaned_Feedback!F149</f>
        <v>45</v>
      </c>
      <c r="H149" s="7" t="str">
        <f aca="false">IF(ISNUMBER(E149),IF(E149&gt;=4,"High","Low"),"N/A")</f>
        <v>High</v>
      </c>
      <c r="I149" s="7" t="n">
        <f aca="false">IFERROR(HOUR(C149),"N/A")</f>
        <v>14</v>
      </c>
    </row>
    <row r="150" customFormat="false" ht="15" hidden="false" customHeight="true" outlineLevel="0" collapsed="false">
      <c r="A150" s="7" t="str">
        <f aca="false">Cleaned_Feedback!B150</f>
        <v>P82099</v>
      </c>
      <c r="B150" s="10" t="n">
        <f aca="false">IFERROR(VLOOKUP(A150,Cleaned_Appointment!$B:$G,4,FALSE()),"N/A")</f>
        <v>45594</v>
      </c>
      <c r="C150" s="11" t="n">
        <f aca="false">IFERROR(VLOOKUP(A150,Cleaned_Appointment!$B:$G,5,FALSE()),"N/A")</f>
        <v>0.645833333333333</v>
      </c>
      <c r="D150" s="7" t="str">
        <f aca="false">Cleaned_Feedback!C150</f>
        <v>Orthopedics</v>
      </c>
      <c r="E150" s="7" t="n">
        <f aca="false">Cleaned_Feedback!D150</f>
        <v>8</v>
      </c>
      <c r="F150" s="7" t="str">
        <f aca="false">Cleaned_Feedback!E150</f>
        <v>Efficient process</v>
      </c>
      <c r="G150" s="7" t="n">
        <f aca="false">Cleaned_Feedback!F150</f>
        <v>45</v>
      </c>
      <c r="H150" s="7" t="str">
        <f aca="false">IF(ISNUMBER(E150),IF(E150&gt;=4,"High","Low"),"N/A")</f>
        <v>High</v>
      </c>
      <c r="I150" s="7" t="n">
        <f aca="false">IFERROR(HOUR(C150),"N/A")</f>
        <v>15</v>
      </c>
    </row>
    <row r="151" customFormat="false" ht="15" hidden="false" customHeight="true" outlineLevel="0" collapsed="false">
      <c r="A151" s="7" t="str">
        <f aca="false">Cleaned_Feedback!B151</f>
        <v>P94085</v>
      </c>
      <c r="B151" s="10" t="n">
        <f aca="false">IFERROR(VLOOKUP(A151,Cleaned_Appointment!$B:$G,4,FALSE()),"N/A")</f>
        <v>45619</v>
      </c>
      <c r="C151" s="11" t="n">
        <f aca="false">IFERROR(VLOOKUP(A151,Cleaned_Appointment!$B:$G,5,FALSE()),"N/A")</f>
        <v>0.541666666666667</v>
      </c>
      <c r="D151" s="7" t="str">
        <f aca="false">Cleaned_Feedback!C151</f>
        <v>Pediatric</v>
      </c>
      <c r="E151" s="7" t="n">
        <f aca="false">Cleaned_Feedback!D151</f>
        <v>9</v>
      </c>
      <c r="F151" s="7" t="str">
        <f aca="false">Cleaned_Feedback!E151</f>
        <v>Amazing team</v>
      </c>
      <c r="G151" s="7" t="n">
        <f aca="false">Cleaned_Feedback!F151</f>
        <v>30</v>
      </c>
      <c r="H151" s="7" t="str">
        <f aca="false">IF(ISNUMBER(E151),IF(E151&gt;=4,"High","Low"),"N/A")</f>
        <v>High</v>
      </c>
      <c r="I151" s="7" t="n">
        <f aca="false">IFERROR(HOUR(C151),"N/A")</f>
        <v>13</v>
      </c>
    </row>
    <row r="152" customFormat="false" ht="15" hidden="false" customHeight="true" outlineLevel="0" collapsed="false">
      <c r="A152" s="7" t="str">
        <f aca="false">Cleaned_Feedback!B152</f>
        <v>P50596</v>
      </c>
      <c r="B152" s="10" t="n">
        <f aca="false">IFERROR(VLOOKUP(A152,Cleaned_Appointment!$B:$G,4,FALSE()),"N/A")</f>
        <v>45348</v>
      </c>
      <c r="C152" s="11" t="n">
        <f aca="false">IFERROR(VLOOKUP(A152,Cleaned_Appointment!$B:$G,5,FALSE()),"N/A")</f>
        <v>0.4375</v>
      </c>
      <c r="D152" s="7" t="str">
        <f aca="false">Cleaned_Feedback!C152</f>
        <v>Pediatric</v>
      </c>
      <c r="E152" s="7" t="n">
        <f aca="false">Cleaned_Feedback!D152</f>
        <v>5</v>
      </c>
      <c r="F152" s="7" t="str">
        <f aca="false">Cleaned_Feedback!E152</f>
        <v>Average</v>
      </c>
      <c r="G152" s="7" t="n">
        <f aca="false">Cleaned_Feedback!F152</f>
        <v>45</v>
      </c>
      <c r="H152" s="7" t="str">
        <f aca="false">IF(ISNUMBER(E152),IF(E152&gt;=4,"High","Low"),"N/A")</f>
        <v>High</v>
      </c>
      <c r="I152" s="7" t="n">
        <f aca="false">IFERROR(HOUR(C152),"N/A")</f>
        <v>10</v>
      </c>
    </row>
    <row r="153" customFormat="false" ht="15" hidden="false" customHeight="true" outlineLevel="0" collapsed="false">
      <c r="A153" s="7" t="str">
        <f aca="false">Cleaned_Feedback!B153</f>
        <v>P52297</v>
      </c>
      <c r="B153" s="10" t="n">
        <f aca="false">IFERROR(VLOOKUP(A153,Cleaned_Appointment!$B:$G,4,FALSE()),"N/A")</f>
        <v>45504</v>
      </c>
      <c r="C153" s="11" t="n">
        <f aca="false">IFERROR(VLOOKUP(A153,Cleaned_Appointment!$B:$G,5,FALSE()),"N/A")</f>
        <v>0.5</v>
      </c>
      <c r="D153" s="7" t="str">
        <f aca="false">Cleaned_Feedback!C153</f>
        <v>Neurology</v>
      </c>
      <c r="E153" s="7" t="n">
        <f aca="false">Cleaned_Feedback!D153</f>
        <v>4</v>
      </c>
      <c r="F153" s="7" t="str">
        <f aca="false">Cleaned_Feedback!E153</f>
        <v>Delayed response</v>
      </c>
      <c r="G153" s="7" t="n">
        <f aca="false">Cleaned_Feedback!F153</f>
        <v>45</v>
      </c>
      <c r="H153" s="7" t="str">
        <f aca="false">IF(ISNUMBER(E153),IF(E153&gt;=4,"High","Low"),"N/A")</f>
        <v>High</v>
      </c>
      <c r="I153" s="7" t="n">
        <f aca="false">IFERROR(HOUR(C153),"N/A")</f>
        <v>12</v>
      </c>
    </row>
    <row r="154" customFormat="false" ht="15" hidden="false" customHeight="true" outlineLevel="0" collapsed="false">
      <c r="A154" s="7" t="str">
        <f aca="false">Cleaned_Feedback!B154</f>
        <v>P69830</v>
      </c>
      <c r="B154" s="10" t="n">
        <f aca="false">IFERROR(VLOOKUP(A154,Cleaned_Appointment!$B:$G,4,FALSE()),"N/A")</f>
        <v>45558</v>
      </c>
      <c r="C154" s="11" t="n">
        <f aca="false">IFERROR(VLOOKUP(A154,Cleaned_Appointment!$B:$G,5,FALSE()),"N/A")</f>
        <v>0.5</v>
      </c>
      <c r="D154" s="7" t="str">
        <f aca="false">Cleaned_Feedback!C154</f>
        <v>N/A</v>
      </c>
      <c r="E154" s="7" t="n">
        <f aca="false">Cleaned_Feedback!D154</f>
        <v>6.27</v>
      </c>
      <c r="F154" s="7" t="str">
        <f aca="false">Cleaned_Feedback!E154</f>
        <v>Efficient process</v>
      </c>
      <c r="G154" s="7" t="n">
        <f aca="false">Cleaned_Feedback!F154</f>
        <v>45</v>
      </c>
      <c r="H154" s="7" t="str">
        <f aca="false">IF(ISNUMBER(E154),IF(E154&gt;=4,"High","Low"),"N/A")</f>
        <v>High</v>
      </c>
      <c r="I154" s="7" t="n">
        <f aca="false">IFERROR(HOUR(C154),"N/A")</f>
        <v>12</v>
      </c>
    </row>
    <row r="155" customFormat="false" ht="15" hidden="false" customHeight="true" outlineLevel="0" collapsed="false">
      <c r="A155" s="7" t="str">
        <f aca="false">Cleaned_Feedback!B155</f>
        <v>P84444</v>
      </c>
      <c r="B155" s="10" t="n">
        <f aca="false">IFERROR(VLOOKUP(A155,Cleaned_Appointment!$B:$G,4,FALSE()),"N/A")</f>
        <v>45357</v>
      </c>
      <c r="C155" s="11" t="n">
        <f aca="false">IFERROR(VLOOKUP(A155,Cleaned_Appointment!$B:$G,5,FALSE()),"N/A")</f>
        <v>0.729166666666667</v>
      </c>
      <c r="D155" s="7" t="str">
        <f aca="false">Cleaned_Feedback!C155</f>
        <v>Cardiology</v>
      </c>
      <c r="E155" s="7" t="n">
        <f aca="false">Cleaned_Feedback!D155</f>
        <v>8</v>
      </c>
      <c r="F155" s="7" t="str">
        <f aca="false">Cleaned_Feedback!E155</f>
        <v>Efficient process</v>
      </c>
      <c r="G155" s="7" t="n">
        <f aca="false">Cleaned_Feedback!F155</f>
        <v>45</v>
      </c>
      <c r="H155" s="7" t="str">
        <f aca="false">IF(ISNUMBER(E155),IF(E155&gt;=4,"High","Low"),"N/A")</f>
        <v>High</v>
      </c>
      <c r="I155" s="7" t="n">
        <f aca="false">IFERROR(HOUR(C155),"N/A")</f>
        <v>17</v>
      </c>
    </row>
    <row r="156" customFormat="false" ht="15" hidden="false" customHeight="true" outlineLevel="0" collapsed="false">
      <c r="A156" s="7" t="str">
        <f aca="false">Cleaned_Feedback!B156</f>
        <v>P84949</v>
      </c>
      <c r="B156" s="10" t="n">
        <f aca="false">IFERROR(VLOOKUP(A156,Cleaned_Appointment!$B:$G,4,FALSE()),"N/A")</f>
        <v>45387</v>
      </c>
      <c r="C156" s="11" t="n">
        <f aca="false">IFERROR(VLOOKUP(A156,Cleaned_Appointment!$B:$G,5,FALSE()),"N/A")</f>
        <v>0.75</v>
      </c>
      <c r="D156" s="7" t="str">
        <f aca="false">Cleaned_Feedback!C156</f>
        <v>Pediatric</v>
      </c>
      <c r="E156" s="7" t="n">
        <f aca="false">Cleaned_Feedback!D156</f>
        <v>3</v>
      </c>
      <c r="F156" s="7" t="str">
        <f aca="false">Cleaned_Feedback!E156</f>
        <v>Needs improvement</v>
      </c>
      <c r="G156" s="7" t="n">
        <f aca="false">Cleaned_Feedback!F156</f>
        <v>45</v>
      </c>
      <c r="H156" s="7" t="str">
        <f aca="false">IF(ISNUMBER(E156),IF(E156&gt;=4,"High","Low"),"N/A")</f>
        <v>Low</v>
      </c>
      <c r="I156" s="7" t="n">
        <f aca="false">IFERROR(HOUR(C156),"N/A")</f>
        <v>18</v>
      </c>
    </row>
    <row r="157" customFormat="false" ht="15" hidden="false" customHeight="true" outlineLevel="0" collapsed="false">
      <c r="A157" s="7" t="str">
        <f aca="false">Cleaned_Feedback!B157</f>
        <v>P53519</v>
      </c>
      <c r="B157" s="10" t="n">
        <f aca="false">IFERROR(VLOOKUP(A157,Cleaned_Appointment!$B:$G,4,FALSE()),"N/A")</f>
        <v>45341</v>
      </c>
      <c r="C157" s="11" t="n">
        <f aca="false">IFERROR(VLOOKUP(A157,Cleaned_Appointment!$B:$G,5,FALSE()),"N/A")</f>
        <v>0.333333333333333</v>
      </c>
      <c r="D157" s="7" t="str">
        <f aca="false">Cleaned_Feedback!C157</f>
        <v>Neurology</v>
      </c>
      <c r="E157" s="7" t="n">
        <f aca="false">Cleaned_Feedback!D157</f>
        <v>4</v>
      </c>
      <c r="F157" s="7" t="str">
        <f aca="false">Cleaned_Feedback!E157</f>
        <v>Delayed response</v>
      </c>
      <c r="G157" s="7" t="n">
        <f aca="false">Cleaned_Feedback!F157</f>
        <v>45</v>
      </c>
      <c r="H157" s="7" t="str">
        <f aca="false">IF(ISNUMBER(E157),IF(E157&gt;=4,"High","Low"),"N/A")</f>
        <v>High</v>
      </c>
      <c r="I157" s="7" t="n">
        <f aca="false">IFERROR(HOUR(C157),"N/A")</f>
        <v>8</v>
      </c>
    </row>
    <row r="158" customFormat="false" ht="15" hidden="false" customHeight="true" outlineLevel="0" collapsed="false">
      <c r="A158" s="7" t="str">
        <f aca="false">Cleaned_Feedback!B158</f>
        <v>P38037</v>
      </c>
      <c r="B158" s="10" t="n">
        <f aca="false">IFERROR(VLOOKUP(A158,Cleaned_Appointment!$B:$G,4,FALSE()),"N/A")</f>
        <v>45565</v>
      </c>
      <c r="C158" s="11" t="n">
        <f aca="false">IFERROR(VLOOKUP(A158,Cleaned_Appointment!$B:$G,5,FALSE()),"N/A")</f>
        <v>0.583333333333333</v>
      </c>
      <c r="D158" s="7" t="str">
        <f aca="false">Cleaned_Feedback!C158</f>
        <v>Pediatric</v>
      </c>
      <c r="E158" s="7" t="n">
        <f aca="false">Cleaned_Feedback!D158</f>
        <v>9</v>
      </c>
      <c r="F158" s="7" t="str">
        <f aca="false">Cleaned_Feedback!E158</f>
        <v>Highly recommended</v>
      </c>
      <c r="G158" s="7" t="n">
        <f aca="false">Cleaned_Feedback!F158</f>
        <v>30</v>
      </c>
      <c r="H158" s="7" t="str">
        <f aca="false">IF(ISNUMBER(E158),IF(E158&gt;=4,"High","Low"),"N/A")</f>
        <v>High</v>
      </c>
      <c r="I158" s="7" t="n">
        <f aca="false">IFERROR(HOUR(C158),"N/A")</f>
        <v>14</v>
      </c>
    </row>
    <row r="159" customFormat="false" ht="15" hidden="false" customHeight="true" outlineLevel="0" collapsed="false">
      <c r="A159" s="7" t="str">
        <f aca="false">Cleaned_Feedback!B159</f>
        <v>P28397</v>
      </c>
      <c r="B159" s="10" t="n">
        <f aca="false">IFERROR(VLOOKUP(A159,Cleaned_Appointment!$B:$G,4,FALSE()),"N/A")</f>
        <v>45481</v>
      </c>
      <c r="C159" s="11" t="n">
        <f aca="false">IFERROR(VLOOKUP(A159,Cleaned_Appointment!$B:$G,5,FALSE()),"N/A")</f>
        <v>0.604166666666667</v>
      </c>
      <c r="D159" s="7" t="str">
        <f aca="false">Cleaned_Feedback!C159</f>
        <v>Pediatric</v>
      </c>
      <c r="E159" s="7" t="n">
        <f aca="false">Cleaned_Feedback!D159</f>
        <v>6</v>
      </c>
      <c r="F159" s="7" t="str">
        <f aca="false">Cleaned_Feedback!E159</f>
        <v>Long wait times</v>
      </c>
      <c r="G159" s="7" t="n">
        <f aca="false">Cleaned_Feedback!F159</f>
        <v>45</v>
      </c>
      <c r="H159" s="7" t="str">
        <f aca="false">IF(ISNUMBER(E159),IF(E159&gt;=4,"High","Low"),"N/A")</f>
        <v>High</v>
      </c>
      <c r="I159" s="7" t="n">
        <f aca="false">IFERROR(HOUR(C159),"N/A")</f>
        <v>14</v>
      </c>
    </row>
    <row r="160" customFormat="false" ht="15" hidden="false" customHeight="true" outlineLevel="0" collapsed="false">
      <c r="A160" s="7" t="str">
        <f aca="false">Cleaned_Feedback!B160</f>
        <v>P41694</v>
      </c>
      <c r="B160" s="10" t="n">
        <f aca="false">IFERROR(VLOOKUP(A160,Cleaned_Appointment!$B:$G,4,FALSE()),"N/A")</f>
        <v>45619</v>
      </c>
      <c r="C160" s="11" t="n">
        <f aca="false">IFERROR(VLOOKUP(A160,Cleaned_Appointment!$B:$G,5,FALSE()),"N/A")</f>
        <v>0.625</v>
      </c>
      <c r="D160" s="7" t="str">
        <f aca="false">Cleaned_Feedback!C160</f>
        <v>Oncology</v>
      </c>
      <c r="E160" s="7" t="n">
        <f aca="false">Cleaned_Feedback!D160</f>
        <v>4</v>
      </c>
      <c r="F160" s="7" t="str">
        <f aca="false">Cleaned_Feedback!E160</f>
        <v>Long wait times</v>
      </c>
      <c r="G160" s="7" t="n">
        <f aca="false">Cleaned_Feedback!F160</f>
        <v>45</v>
      </c>
      <c r="H160" s="7" t="str">
        <f aca="false">IF(ISNUMBER(E160),IF(E160&gt;=4,"High","Low"),"N/A")</f>
        <v>High</v>
      </c>
      <c r="I160" s="7" t="n">
        <f aca="false">IFERROR(HOUR(C160),"N/A")</f>
        <v>15</v>
      </c>
    </row>
    <row r="161" customFormat="false" ht="15" hidden="false" customHeight="true" outlineLevel="0" collapsed="false">
      <c r="A161" s="7" t="str">
        <f aca="false">Cleaned_Feedback!B161</f>
        <v>P64103</v>
      </c>
      <c r="B161" s="10" t="n">
        <f aca="false">IFERROR(VLOOKUP(A161,Cleaned_Appointment!$B:$G,4,FALSE()),"N/A")</f>
        <v>45387</v>
      </c>
      <c r="C161" s="11" t="n">
        <f aca="false">IFERROR(VLOOKUP(A161,Cleaned_Appointment!$B:$G,5,FALSE()),"N/A")</f>
        <v>0.375</v>
      </c>
      <c r="D161" s="7" t="str">
        <f aca="false">Cleaned_Feedback!C161</f>
        <v>Oncology</v>
      </c>
      <c r="E161" s="7" t="n">
        <f aca="false">Cleaned_Feedback!D161</f>
        <v>9</v>
      </c>
      <c r="F161" s="7" t="str">
        <f aca="false">Cleaned_Feedback!E161</f>
        <v>Excellent care</v>
      </c>
      <c r="G161" s="7" t="n">
        <f aca="false">Cleaned_Feedback!F161</f>
        <v>30</v>
      </c>
      <c r="H161" s="7" t="str">
        <f aca="false">IF(ISNUMBER(E161),IF(E161&gt;=4,"High","Low"),"N/A")</f>
        <v>High</v>
      </c>
      <c r="I161" s="7" t="n">
        <f aca="false">IFERROR(HOUR(C161),"N/A")</f>
        <v>9</v>
      </c>
    </row>
    <row r="162" customFormat="false" ht="15" hidden="false" customHeight="true" outlineLevel="0" collapsed="false">
      <c r="A162" s="7" t="str">
        <f aca="false">Cleaned_Feedback!B162</f>
        <v>P87617</v>
      </c>
      <c r="B162" s="10" t="n">
        <f aca="false">IFERROR(VLOOKUP(A162,Cleaned_Appointment!$B:$G,4,FALSE()),"N/A")</f>
        <v>45474</v>
      </c>
      <c r="C162" s="11" t="n">
        <f aca="false">IFERROR(VLOOKUP(A162,Cleaned_Appointment!$B:$G,5,FALSE()),"N/A")</f>
        <v>0.520833333333333</v>
      </c>
      <c r="D162" s="7" t="str">
        <f aca="false">Cleaned_Feedback!C162</f>
        <v>Pediatric</v>
      </c>
      <c r="E162" s="7" t="n">
        <f aca="false">Cleaned_Feedback!D162</f>
        <v>4</v>
      </c>
      <c r="F162" s="7" t="str">
        <f aca="false">Cleaned_Feedback!E162</f>
        <v>Delayed response</v>
      </c>
      <c r="G162" s="7" t="n">
        <f aca="false">Cleaned_Feedback!F162</f>
        <v>45</v>
      </c>
      <c r="H162" s="7" t="str">
        <f aca="false">IF(ISNUMBER(E162),IF(E162&gt;=4,"High","Low"),"N/A")</f>
        <v>High</v>
      </c>
      <c r="I162" s="7" t="n">
        <f aca="false">IFERROR(HOUR(C162),"N/A")</f>
        <v>12</v>
      </c>
    </row>
    <row r="163" customFormat="false" ht="15" hidden="false" customHeight="true" outlineLevel="0" collapsed="false">
      <c r="A163" s="7" t="str">
        <f aca="false">Cleaned_Feedback!B163</f>
        <v>P28106</v>
      </c>
      <c r="B163" s="10" t="n">
        <f aca="false">IFERROR(VLOOKUP(A163,Cleaned_Appointment!$B:$G,4,FALSE()),"N/A")</f>
        <v>45337</v>
      </c>
      <c r="C163" s="11" t="n">
        <f aca="false">IFERROR(VLOOKUP(A163,Cleaned_Appointment!$B:$G,5,FALSE()),"N/A")</f>
        <v>0.458333333333333</v>
      </c>
      <c r="D163" s="7" t="str">
        <f aca="false">Cleaned_Feedback!C163</f>
        <v>Orthopedics</v>
      </c>
      <c r="E163" s="7" t="n">
        <f aca="false">Cleaned_Feedback!D163</f>
        <v>8</v>
      </c>
      <c r="F163" s="7" t="str">
        <f aca="false">Cleaned_Feedback!E163</f>
        <v>Efficient process</v>
      </c>
      <c r="G163" s="7" t="n">
        <f aca="false">Cleaned_Feedback!F163</f>
        <v>45</v>
      </c>
      <c r="H163" s="7" t="str">
        <f aca="false">IF(ISNUMBER(E163),IF(E163&gt;=4,"High","Low"),"N/A")</f>
        <v>High</v>
      </c>
      <c r="I163" s="7" t="n">
        <f aca="false">IFERROR(HOUR(C163),"N/A")</f>
        <v>11</v>
      </c>
    </row>
    <row r="164" customFormat="false" ht="15" hidden="false" customHeight="true" outlineLevel="0" collapsed="false">
      <c r="A164" s="7" t="str">
        <f aca="false">Cleaned_Feedback!B164</f>
        <v>P81675</v>
      </c>
      <c r="B164" s="10" t="n">
        <f aca="false">IFERROR(VLOOKUP(A164,Cleaned_Appointment!$B:$G,4,FALSE()),"N/A")</f>
        <v>45405</v>
      </c>
      <c r="C164" s="11" t="n">
        <f aca="false">IFERROR(VLOOKUP(A164,Cleaned_Appointment!$B:$G,5,FALSE()),"N/A")</f>
        <v>0.458333333333333</v>
      </c>
      <c r="D164" s="7" t="str">
        <f aca="false">Cleaned_Feedback!C164</f>
        <v>General Medicine</v>
      </c>
      <c r="E164" s="7" t="n">
        <f aca="false">Cleaned_Feedback!D164</f>
        <v>4</v>
      </c>
      <c r="F164" s="7" t="str">
        <f aca="false">Cleaned_Feedback!E164</f>
        <v>Long wait times</v>
      </c>
      <c r="G164" s="7" t="n">
        <f aca="false">Cleaned_Feedback!F164</f>
        <v>45</v>
      </c>
      <c r="H164" s="7" t="str">
        <f aca="false">IF(ISNUMBER(E164),IF(E164&gt;=4,"High","Low"),"N/A")</f>
        <v>High</v>
      </c>
      <c r="I164" s="7" t="n">
        <f aca="false">IFERROR(HOUR(C164),"N/A")</f>
        <v>11</v>
      </c>
    </row>
    <row r="165" customFormat="false" ht="15" hidden="false" customHeight="true" outlineLevel="0" collapsed="false">
      <c r="A165" s="7" t="str">
        <f aca="false">Cleaned_Feedback!B165</f>
        <v>P42541</v>
      </c>
      <c r="B165" s="10" t="n">
        <f aca="false">IFERROR(VLOOKUP(A165,Cleaned_Appointment!$B:$G,4,FALSE()),"N/A")</f>
        <v>45434</v>
      </c>
      <c r="C165" s="11" t="n">
        <f aca="false">IFERROR(VLOOKUP(A165,Cleaned_Appointment!$B:$G,5,FALSE()),"N/A")</f>
        <v>0.458333333333333</v>
      </c>
      <c r="D165" s="7" t="str">
        <f aca="false">Cleaned_Feedback!C165</f>
        <v>Orthopedics</v>
      </c>
      <c r="E165" s="7" t="n">
        <f aca="false">Cleaned_Feedback!D165</f>
        <v>7</v>
      </c>
      <c r="F165" s="7" t="str">
        <f aca="false">Cleaned_Feedback!E165</f>
        <v>Child-friendly staff</v>
      </c>
      <c r="G165" s="7" t="n">
        <f aca="false">Cleaned_Feedback!F165</f>
        <v>45</v>
      </c>
      <c r="H165" s="7" t="str">
        <f aca="false">IF(ISNUMBER(E165),IF(E165&gt;=4,"High","Low"),"N/A")</f>
        <v>High</v>
      </c>
      <c r="I165" s="7" t="n">
        <f aca="false">IFERROR(HOUR(C165),"N/A")</f>
        <v>11</v>
      </c>
    </row>
    <row r="166" customFormat="false" ht="15" hidden="false" customHeight="true" outlineLevel="0" collapsed="false">
      <c r="A166" s="7" t="str">
        <f aca="false">Cleaned_Feedback!B166</f>
        <v>P90961</v>
      </c>
      <c r="B166" s="10" t="n">
        <f aca="false">IFERROR(VLOOKUP(A166,Cleaned_Appointment!$B:$G,4,FALSE()),"N/A")</f>
        <v>45474</v>
      </c>
      <c r="C166" s="11" t="n">
        <f aca="false">IFERROR(VLOOKUP(A166,Cleaned_Appointment!$B:$G,5,FALSE()),"N/A")</f>
        <v>0.729166666666667</v>
      </c>
      <c r="D166" s="7" t="str">
        <f aca="false">Cleaned_Feedback!C166</f>
        <v>Orthopedics</v>
      </c>
      <c r="E166" s="7" t="n">
        <f aca="false">Cleaned_Feedback!D166</f>
        <v>9</v>
      </c>
      <c r="F166" s="7" t="str">
        <f aca="false">Cleaned_Feedback!E166</f>
        <v>Good service</v>
      </c>
      <c r="G166" s="7" t="n">
        <f aca="false">Cleaned_Feedback!F166</f>
        <v>30</v>
      </c>
      <c r="H166" s="7" t="str">
        <f aca="false">IF(ISNUMBER(E166),IF(E166&gt;=4,"High","Low"),"N/A")</f>
        <v>High</v>
      </c>
      <c r="I166" s="7" t="n">
        <f aca="false">IFERROR(HOUR(C166),"N/A")</f>
        <v>17</v>
      </c>
    </row>
    <row r="167" customFormat="false" ht="15" hidden="false" customHeight="true" outlineLevel="0" collapsed="false">
      <c r="A167" s="7" t="str">
        <f aca="false">Cleaned_Feedback!B167</f>
        <v>P89375</v>
      </c>
      <c r="B167" s="10" t="n">
        <f aca="false">IFERROR(VLOOKUP(A167,Cleaned_Appointment!$B:$G,4,FALSE()),"N/A")</f>
        <v>45501</v>
      </c>
      <c r="C167" s="11" t="n">
        <f aca="false">IFERROR(VLOOKUP(A167,Cleaned_Appointment!$B:$G,5,FALSE()),"N/A")</f>
        <v>0.708333333333333</v>
      </c>
      <c r="D167" s="7" t="str">
        <f aca="false">Cleaned_Feedback!C167</f>
        <v>Oncology</v>
      </c>
      <c r="E167" s="7" t="n">
        <f aca="false">Cleaned_Feedback!D167</f>
        <v>8</v>
      </c>
      <c r="F167" s="7" t="str">
        <f aca="false">Cleaned_Feedback!E167</f>
        <v>Great doctors</v>
      </c>
      <c r="G167" s="7" t="n">
        <f aca="false">Cleaned_Feedback!F167</f>
        <v>45</v>
      </c>
      <c r="H167" s="7" t="str">
        <f aca="false">IF(ISNUMBER(E167),IF(E167&gt;=4,"High","Low"),"N/A")</f>
        <v>High</v>
      </c>
      <c r="I167" s="7" t="n">
        <f aca="false">IFERROR(HOUR(C167),"N/A")</f>
        <v>17</v>
      </c>
    </row>
    <row r="168" customFormat="false" ht="15" hidden="false" customHeight="true" outlineLevel="0" collapsed="false">
      <c r="A168" s="7" t="str">
        <f aca="false">Cleaned_Feedback!B168</f>
        <v>P50132</v>
      </c>
      <c r="B168" s="10" t="n">
        <f aca="false">IFERROR(VLOOKUP(A168,Cleaned_Appointment!$B:$G,4,FALSE()),"N/A")</f>
        <v>45613</v>
      </c>
      <c r="C168" s="11" t="n">
        <f aca="false">IFERROR(VLOOKUP(A168,Cleaned_Appointment!$B:$G,5,FALSE()),"N/A")</f>
        <v>0.333333333333333</v>
      </c>
      <c r="D168" s="7" t="str">
        <f aca="false">Cleaned_Feedback!C168</f>
        <v>Cardiology</v>
      </c>
      <c r="E168" s="7" t="n">
        <f aca="false">Cleaned_Feedback!D168</f>
        <v>6</v>
      </c>
      <c r="F168" s="7" t="str">
        <f aca="false">Cleaned_Feedback!E168</f>
        <v>Very good</v>
      </c>
      <c r="G168" s="7" t="n">
        <f aca="false">Cleaned_Feedback!F168</f>
        <v>45</v>
      </c>
      <c r="H168" s="7" t="str">
        <f aca="false">IF(ISNUMBER(E168),IF(E168&gt;=4,"High","Low"),"N/A")</f>
        <v>High</v>
      </c>
      <c r="I168" s="7" t="n">
        <f aca="false">IFERROR(HOUR(C168),"N/A")</f>
        <v>8</v>
      </c>
    </row>
    <row r="169" customFormat="false" ht="15" hidden="false" customHeight="true" outlineLevel="0" collapsed="false">
      <c r="A169" s="7" t="str">
        <f aca="false">Cleaned_Feedback!B169</f>
        <v>P32413</v>
      </c>
      <c r="B169" s="10" t="n">
        <f aca="false">IFERROR(VLOOKUP(A169,Cleaned_Appointment!$B:$G,4,FALSE()),"N/A")</f>
        <v>45368</v>
      </c>
      <c r="C169" s="11" t="n">
        <f aca="false">IFERROR(VLOOKUP(A169,Cleaned_Appointment!$B:$G,5,FALSE()),"N/A")</f>
        <v>0.75</v>
      </c>
      <c r="D169" s="7" t="str">
        <f aca="false">Cleaned_Feedback!C169</f>
        <v>Oncology</v>
      </c>
      <c r="E169" s="7" t="n">
        <f aca="false">Cleaned_Feedback!D169</f>
        <v>3</v>
      </c>
      <c r="F169" s="7" t="str">
        <f aca="false">Cleaned_Feedback!E169</f>
        <v>Needs improvement</v>
      </c>
      <c r="G169" s="7" t="n">
        <f aca="false">Cleaned_Feedback!F169</f>
        <v>45</v>
      </c>
      <c r="H169" s="7" t="str">
        <f aca="false">IF(ISNUMBER(E169),IF(E169&gt;=4,"High","Low"),"N/A")</f>
        <v>Low</v>
      </c>
      <c r="I169" s="7" t="n">
        <f aca="false">IFERROR(HOUR(C169),"N/A")</f>
        <v>18</v>
      </c>
    </row>
    <row r="170" customFormat="false" ht="15" hidden="false" customHeight="true" outlineLevel="0" collapsed="false">
      <c r="A170" s="7" t="str">
        <f aca="false">Cleaned_Feedback!B170</f>
        <v>P22184</v>
      </c>
      <c r="B170" s="10" t="n">
        <f aca="false">IFERROR(VLOOKUP(A170,Cleaned_Appointment!$B:$G,4,FALSE()),"N/A")</f>
        <v>45354</v>
      </c>
      <c r="C170" s="11" t="n">
        <f aca="false">IFERROR(VLOOKUP(A170,Cleaned_Appointment!$B:$G,5,FALSE()),"N/A")</f>
        <v>0.625</v>
      </c>
      <c r="D170" s="7" t="str">
        <f aca="false">Cleaned_Feedback!C170</f>
        <v>Oncology</v>
      </c>
      <c r="E170" s="7" t="n">
        <f aca="false">Cleaned_Feedback!D170</f>
        <v>6</v>
      </c>
      <c r="F170" s="7" t="str">
        <f aca="false">Cleaned_Feedback!E170</f>
        <v>Very good</v>
      </c>
      <c r="G170" s="7" t="n">
        <f aca="false">Cleaned_Feedback!F170</f>
        <v>45</v>
      </c>
      <c r="H170" s="7" t="str">
        <f aca="false">IF(ISNUMBER(E170),IF(E170&gt;=4,"High","Low"),"N/A")</f>
        <v>High</v>
      </c>
      <c r="I170" s="7" t="n">
        <f aca="false">IFERROR(HOUR(C170),"N/A")</f>
        <v>15</v>
      </c>
    </row>
    <row r="171" customFormat="false" ht="15" hidden="false" customHeight="true" outlineLevel="0" collapsed="false">
      <c r="A171" s="7" t="str">
        <f aca="false">Cleaned_Feedback!B171</f>
        <v>P50298</v>
      </c>
      <c r="B171" s="10" t="n">
        <f aca="false">IFERROR(VLOOKUP(A171,Cleaned_Appointment!$B:$G,4,FALSE()),"N/A")</f>
        <v>45421</v>
      </c>
      <c r="C171" s="11" t="n">
        <f aca="false">IFERROR(VLOOKUP(A171,Cleaned_Appointment!$B:$G,5,FALSE()),"N/A")</f>
        <v>0.333333333333333</v>
      </c>
      <c r="D171" s="7" t="str">
        <f aca="false">Cleaned_Feedback!C171</f>
        <v>Cardiology</v>
      </c>
      <c r="E171" s="7" t="n">
        <f aca="false">Cleaned_Feedback!D171</f>
        <v>4</v>
      </c>
      <c r="F171" s="7" t="str">
        <f aca="false">Cleaned_Feedback!E171</f>
        <v>Room cleanliness issue</v>
      </c>
      <c r="G171" s="7" t="n">
        <f aca="false">Cleaned_Feedback!F171</f>
        <v>45</v>
      </c>
      <c r="H171" s="7" t="str">
        <f aca="false">IF(ISNUMBER(E171),IF(E171&gt;=4,"High","Low"),"N/A")</f>
        <v>High</v>
      </c>
      <c r="I171" s="7" t="n">
        <f aca="false">IFERROR(HOUR(C171),"N/A")</f>
        <v>8</v>
      </c>
    </row>
    <row r="172" customFormat="false" ht="15" hidden="false" customHeight="true" outlineLevel="0" collapsed="false">
      <c r="A172" s="7" t="str">
        <f aca="false">Cleaned_Feedback!B172</f>
        <v>P36715</v>
      </c>
      <c r="B172" s="10" t="n">
        <f aca="false">IFERROR(VLOOKUP(A172,Cleaned_Appointment!$B:$G,4,FALSE()),"N/A")</f>
        <v>45437</v>
      </c>
      <c r="C172" s="11" t="n">
        <f aca="false">IFERROR(VLOOKUP(A172,Cleaned_Appointment!$B:$G,5,FALSE()),"N/A")</f>
        <v>0.541666666666667</v>
      </c>
      <c r="D172" s="7" t="str">
        <f aca="false">Cleaned_Feedback!C172</f>
        <v>Cardiology</v>
      </c>
      <c r="E172" s="7" t="n">
        <f aca="false">Cleaned_Feedback!D172</f>
        <v>9</v>
      </c>
      <c r="F172" s="7" t="str">
        <f aca="false">Cleaned_Feedback!E172</f>
        <v>Highly recommended</v>
      </c>
      <c r="G172" s="7" t="n">
        <f aca="false">Cleaned_Feedback!F172</f>
        <v>30</v>
      </c>
      <c r="H172" s="7" t="str">
        <f aca="false">IF(ISNUMBER(E172),IF(E172&gt;=4,"High","Low"),"N/A")</f>
        <v>High</v>
      </c>
      <c r="I172" s="7" t="n">
        <f aca="false">IFERROR(HOUR(C172),"N/A")</f>
        <v>13</v>
      </c>
    </row>
    <row r="173" customFormat="false" ht="15" hidden="false" customHeight="true" outlineLevel="0" collapsed="false">
      <c r="A173" s="7" t="str">
        <f aca="false">Cleaned_Feedback!B173</f>
        <v>P88279</v>
      </c>
      <c r="B173" s="10" t="n">
        <f aca="false">IFERROR(VLOOKUP(A173,Cleaned_Appointment!$B:$G,4,FALSE()),"N/A")</f>
        <v>45598</v>
      </c>
      <c r="C173" s="11" t="n">
        <f aca="false">IFERROR(VLOOKUP(A173,Cleaned_Appointment!$B:$G,5,FALSE()),"N/A")</f>
        <v>0.333333333333333</v>
      </c>
      <c r="D173" s="7" t="str">
        <f aca="false">Cleaned_Feedback!C173</f>
        <v>Pediatric</v>
      </c>
      <c r="E173" s="7" t="n">
        <f aca="false">Cleaned_Feedback!D173</f>
        <v>7</v>
      </c>
      <c r="F173" s="7" t="str">
        <f aca="false">Cleaned_Feedback!E173</f>
        <v>Child-friendly staff</v>
      </c>
      <c r="G173" s="7" t="n">
        <f aca="false">Cleaned_Feedback!F173</f>
        <v>45</v>
      </c>
      <c r="H173" s="7" t="str">
        <f aca="false">IF(ISNUMBER(E173),IF(E173&gt;=4,"High","Low"),"N/A")</f>
        <v>High</v>
      </c>
      <c r="I173" s="7" t="n">
        <f aca="false">IFERROR(HOUR(C173),"N/A")</f>
        <v>8</v>
      </c>
    </row>
    <row r="174" customFormat="false" ht="15" hidden="false" customHeight="true" outlineLevel="0" collapsed="false">
      <c r="A174" s="7" t="str">
        <f aca="false">Cleaned_Feedback!B174</f>
        <v>P55468</v>
      </c>
      <c r="B174" s="10" t="n">
        <f aca="false">IFERROR(VLOOKUP(A174,Cleaned_Appointment!$B:$G,4,FALSE()),"N/A")</f>
        <v>45446</v>
      </c>
      <c r="C174" s="11" t="n">
        <f aca="false">IFERROR(VLOOKUP(A174,Cleaned_Appointment!$B:$G,5,FALSE()),"N/A")</f>
        <v>0.395833333333333</v>
      </c>
      <c r="D174" s="7" t="str">
        <f aca="false">Cleaned_Feedback!C174</f>
        <v>Pediatric</v>
      </c>
      <c r="E174" s="7" t="n">
        <f aca="false">Cleaned_Feedback!D174</f>
        <v>7</v>
      </c>
      <c r="F174" s="7" t="str">
        <f aca="false">Cleaned_Feedback!E174</f>
        <v>Helpful staff</v>
      </c>
      <c r="G174" s="7" t="n">
        <f aca="false">Cleaned_Feedback!F174</f>
        <v>45</v>
      </c>
      <c r="H174" s="7" t="str">
        <f aca="false">IF(ISNUMBER(E174),IF(E174&gt;=4,"High","Low"),"N/A")</f>
        <v>High</v>
      </c>
      <c r="I174" s="7" t="n">
        <f aca="false">IFERROR(HOUR(C174),"N/A")</f>
        <v>9</v>
      </c>
    </row>
    <row r="175" customFormat="false" ht="15" hidden="false" customHeight="true" outlineLevel="0" collapsed="false">
      <c r="A175" s="7" t="str">
        <f aca="false">Cleaned_Feedback!B175</f>
        <v>P22511</v>
      </c>
      <c r="B175" s="10" t="n">
        <f aca="false">IFERROR(VLOOKUP(A175,Cleaned_Appointment!$B:$G,4,FALSE()),"N/A")</f>
        <v>45343</v>
      </c>
      <c r="C175" s="11" t="n">
        <f aca="false">IFERROR(VLOOKUP(A175,Cleaned_Appointment!$B:$G,5,FALSE()),"N/A")</f>
        <v>0.625</v>
      </c>
      <c r="D175" s="7" t="str">
        <f aca="false">Cleaned_Feedback!C175</f>
        <v>Cardiology</v>
      </c>
      <c r="E175" s="7" t="n">
        <f aca="false">Cleaned_Feedback!D175</f>
        <v>8</v>
      </c>
      <c r="F175" s="7" t="str">
        <f aca="false">Cleaned_Feedback!E175</f>
        <v>Efficient process</v>
      </c>
      <c r="G175" s="7" t="n">
        <f aca="false">Cleaned_Feedback!F175</f>
        <v>45</v>
      </c>
      <c r="H175" s="7" t="str">
        <f aca="false">IF(ISNUMBER(E175),IF(E175&gt;=4,"High","Low"),"N/A")</f>
        <v>High</v>
      </c>
      <c r="I175" s="7" t="n">
        <f aca="false">IFERROR(HOUR(C175),"N/A")</f>
        <v>15</v>
      </c>
    </row>
    <row r="176" customFormat="false" ht="15" hidden="false" customHeight="true" outlineLevel="0" collapsed="false">
      <c r="A176" s="7" t="str">
        <f aca="false">Cleaned_Feedback!B176</f>
        <v>P95021</v>
      </c>
      <c r="B176" s="10" t="n">
        <f aca="false">IFERROR(VLOOKUP(A176,Cleaned_Appointment!$B:$G,4,FALSE()),"N/A")</f>
        <v>45595</v>
      </c>
      <c r="C176" s="11" t="n">
        <f aca="false">IFERROR(VLOOKUP(A176,Cleaned_Appointment!$B:$G,5,FALSE()),"N/A")</f>
        <v>0.666666666666667</v>
      </c>
      <c r="D176" s="7" t="str">
        <f aca="false">Cleaned_Feedback!C176</f>
        <v>Cardiology</v>
      </c>
      <c r="E176" s="7" t="n">
        <f aca="false">Cleaned_Feedback!D176</f>
        <v>9</v>
      </c>
      <c r="F176" s="7" t="str">
        <f aca="false">Cleaned_Feedback!E176</f>
        <v>Excellent care</v>
      </c>
      <c r="G176" s="7" t="n">
        <f aca="false">Cleaned_Feedback!F176</f>
        <v>30</v>
      </c>
      <c r="H176" s="7" t="str">
        <f aca="false">IF(ISNUMBER(E176),IF(E176&gt;=4,"High","Low"),"N/A")</f>
        <v>High</v>
      </c>
      <c r="I176" s="7" t="n">
        <f aca="false">IFERROR(HOUR(C176),"N/A")</f>
        <v>16</v>
      </c>
    </row>
    <row r="177" customFormat="false" ht="15" hidden="false" customHeight="true" outlineLevel="0" collapsed="false">
      <c r="A177" s="7" t="str">
        <f aca="false">Cleaned_Feedback!B177</f>
        <v>P43786</v>
      </c>
      <c r="B177" s="10" t="n">
        <f aca="false">IFERROR(VLOOKUP(A177,Cleaned_Appointment!$B:$G,4,FALSE()),"N/A")</f>
        <v>45358</v>
      </c>
      <c r="C177" s="11" t="n">
        <f aca="false">IFERROR(VLOOKUP(A177,Cleaned_Appointment!$B:$G,5,FALSE()),"N/A")</f>
        <v>0.375</v>
      </c>
      <c r="D177" s="7" t="str">
        <f aca="false">Cleaned_Feedback!C177</f>
        <v>Pediatric</v>
      </c>
      <c r="E177" s="7" t="n">
        <f aca="false">Cleaned_Feedback!D177</f>
        <v>9</v>
      </c>
      <c r="F177" s="7" t="str">
        <f aca="false">Cleaned_Feedback!E177</f>
        <v>Highly recommended</v>
      </c>
      <c r="G177" s="7" t="n">
        <f aca="false">Cleaned_Feedback!F177</f>
        <v>30</v>
      </c>
      <c r="H177" s="7" t="str">
        <f aca="false">IF(ISNUMBER(E177),IF(E177&gt;=4,"High","Low"),"N/A")</f>
        <v>High</v>
      </c>
      <c r="I177" s="7" t="n">
        <f aca="false">IFERROR(HOUR(C177),"N/A")</f>
        <v>9</v>
      </c>
    </row>
    <row r="178" customFormat="false" ht="15" hidden="false" customHeight="true" outlineLevel="0" collapsed="false">
      <c r="A178" s="7" t="str">
        <f aca="false">Cleaned_Feedback!B178</f>
        <v>P18635</v>
      </c>
      <c r="B178" s="10" t="n">
        <f aca="false">IFERROR(VLOOKUP(A178,Cleaned_Appointment!$B:$G,4,FALSE()),"N/A")</f>
        <v>45349</v>
      </c>
      <c r="C178" s="11" t="n">
        <f aca="false">IFERROR(VLOOKUP(A178,Cleaned_Appointment!$B:$G,5,FALSE()),"N/A")</f>
        <v>0.604166666666667</v>
      </c>
      <c r="D178" s="7" t="str">
        <f aca="false">Cleaned_Feedback!C178</f>
        <v>Pediatric</v>
      </c>
      <c r="E178" s="7" t="n">
        <f aca="false">Cleaned_Feedback!D178</f>
        <v>6</v>
      </c>
      <c r="F178" s="7" t="str">
        <f aca="false">Cleaned_Feedback!E178</f>
        <v>Very good</v>
      </c>
      <c r="G178" s="7" t="n">
        <f aca="false">Cleaned_Feedback!F178</f>
        <v>45</v>
      </c>
      <c r="H178" s="7" t="str">
        <f aca="false">IF(ISNUMBER(E178),IF(E178&gt;=4,"High","Low"),"N/A")</f>
        <v>High</v>
      </c>
      <c r="I178" s="7" t="n">
        <f aca="false">IFERROR(HOUR(C178),"N/A")</f>
        <v>14</v>
      </c>
    </row>
    <row r="179" customFormat="false" ht="15" hidden="false" customHeight="true" outlineLevel="0" collapsed="false">
      <c r="A179" s="7" t="str">
        <f aca="false">Cleaned_Feedback!B179</f>
        <v>P28088</v>
      </c>
      <c r="B179" s="10" t="n">
        <f aca="false">IFERROR(VLOOKUP(A179,Cleaned_Appointment!$B:$G,4,FALSE()),"N/A")</f>
        <v>45507</v>
      </c>
      <c r="C179" s="11" t="n">
        <f aca="false">IFERROR(VLOOKUP(A179,Cleaned_Appointment!$B:$G,5,FALSE()),"N/A")</f>
        <v>0.5</v>
      </c>
      <c r="D179" s="7" t="str">
        <f aca="false">Cleaned_Feedback!C179</f>
        <v>General Medicine</v>
      </c>
      <c r="E179" s="7" t="n">
        <f aca="false">Cleaned_Feedback!D179</f>
        <v>4</v>
      </c>
      <c r="F179" s="7" t="str">
        <f aca="false">Cleaned_Feedback!E179</f>
        <v>Delayed response</v>
      </c>
      <c r="G179" s="7" t="n">
        <f aca="false">Cleaned_Feedback!F179</f>
        <v>45</v>
      </c>
      <c r="H179" s="7" t="str">
        <f aca="false">IF(ISNUMBER(E179),IF(E179&gt;=4,"High","Low"),"N/A")</f>
        <v>High</v>
      </c>
      <c r="I179" s="7" t="n">
        <f aca="false">IFERROR(HOUR(C179),"N/A")</f>
        <v>12</v>
      </c>
    </row>
    <row r="180" customFormat="false" ht="15" hidden="false" customHeight="true" outlineLevel="0" collapsed="false">
      <c r="A180" s="7" t="str">
        <f aca="false">Cleaned_Feedback!B180</f>
        <v>P88045</v>
      </c>
      <c r="B180" s="10" t="n">
        <f aca="false">IFERROR(VLOOKUP(A180,Cleaned_Appointment!$B:$G,4,FALSE()),"N/A")</f>
        <v>45483</v>
      </c>
      <c r="C180" s="11" t="n">
        <f aca="false">IFERROR(VLOOKUP(A180,Cleaned_Appointment!$B:$G,5,FALSE()),"N/A")</f>
        <v>0.770833333333333</v>
      </c>
      <c r="D180" s="7" t="str">
        <f aca="false">Cleaned_Feedback!C180</f>
        <v>Neurology</v>
      </c>
      <c r="E180" s="7" t="n">
        <f aca="false">Cleaned_Feedback!D180</f>
        <v>6</v>
      </c>
      <c r="F180" s="7" t="str">
        <f aca="false">Cleaned_Feedback!E180</f>
        <v>Very good</v>
      </c>
      <c r="G180" s="7" t="n">
        <f aca="false">Cleaned_Feedback!F180</f>
        <v>45</v>
      </c>
      <c r="H180" s="7" t="str">
        <f aca="false">IF(ISNUMBER(E180),IF(E180&gt;=4,"High","Low"),"N/A")</f>
        <v>High</v>
      </c>
      <c r="I180" s="7" t="n">
        <f aca="false">IFERROR(HOUR(C180),"N/A")</f>
        <v>18</v>
      </c>
    </row>
    <row r="181" customFormat="false" ht="15" hidden="false" customHeight="true" outlineLevel="0" collapsed="false">
      <c r="A181" s="7" t="str">
        <f aca="false">Cleaned_Feedback!B181</f>
        <v>P95964</v>
      </c>
      <c r="B181" s="10" t="n">
        <f aca="false">IFERROR(VLOOKUP(A181,Cleaned_Appointment!$B:$G,4,FALSE()),"N/A")</f>
        <v>45472</v>
      </c>
      <c r="C181" s="11" t="n">
        <f aca="false">IFERROR(VLOOKUP(A181,Cleaned_Appointment!$B:$G,5,FALSE()),"N/A")</f>
        <v>0.333333333333333</v>
      </c>
      <c r="D181" s="7" t="str">
        <f aca="false">Cleaned_Feedback!C181</f>
        <v>Pediatric</v>
      </c>
      <c r="E181" s="7" t="n">
        <f aca="false">Cleaned_Feedback!D181</f>
        <v>8</v>
      </c>
      <c r="F181" s="7" t="str">
        <f aca="false">Cleaned_Feedback!E181</f>
        <v>Efficient process</v>
      </c>
      <c r="G181" s="7" t="n">
        <f aca="false">Cleaned_Feedback!F181</f>
        <v>45</v>
      </c>
      <c r="H181" s="7" t="str">
        <f aca="false">IF(ISNUMBER(E181),IF(E181&gt;=4,"High","Low"),"N/A")</f>
        <v>High</v>
      </c>
      <c r="I181" s="7" t="n">
        <f aca="false">IFERROR(HOUR(C181),"N/A")</f>
        <v>8</v>
      </c>
    </row>
    <row r="182" customFormat="false" ht="15" hidden="false" customHeight="true" outlineLevel="0" collapsed="false">
      <c r="A182" s="7" t="str">
        <f aca="false">Cleaned_Feedback!B182</f>
        <v>P32057</v>
      </c>
      <c r="B182" s="10" t="n">
        <f aca="false">IFERROR(VLOOKUP(A182,Cleaned_Appointment!$B:$G,4,FALSE()),"N/A")</f>
        <v>45388</v>
      </c>
      <c r="C182" s="11" t="n">
        <f aca="false">IFERROR(VLOOKUP(A182,Cleaned_Appointment!$B:$G,5,FALSE()),"N/A")</f>
        <v>0.5</v>
      </c>
      <c r="D182" s="7" t="str">
        <f aca="false">Cleaned_Feedback!C182</f>
        <v>Oncology</v>
      </c>
      <c r="E182" s="7" t="n">
        <f aca="false">Cleaned_Feedback!D182</f>
        <v>8</v>
      </c>
      <c r="F182" s="7" t="str">
        <f aca="false">Cleaned_Feedback!E182</f>
        <v>Efficient process</v>
      </c>
      <c r="G182" s="7" t="n">
        <f aca="false">Cleaned_Feedback!F182</f>
        <v>45</v>
      </c>
      <c r="H182" s="7" t="str">
        <f aca="false">IF(ISNUMBER(E182),IF(E182&gt;=4,"High","Low"),"N/A")</f>
        <v>High</v>
      </c>
      <c r="I182" s="7" t="n">
        <f aca="false">IFERROR(HOUR(C182),"N/A")</f>
        <v>12</v>
      </c>
    </row>
    <row r="183" customFormat="false" ht="15" hidden="false" customHeight="true" outlineLevel="0" collapsed="false">
      <c r="A183" s="7" t="str">
        <f aca="false">Cleaned_Feedback!B183</f>
        <v>P32295</v>
      </c>
      <c r="B183" s="10" t="n">
        <f aca="false">IFERROR(VLOOKUP(A183,Cleaned_Appointment!$B:$G,4,FALSE()),"N/A")</f>
        <v>45390</v>
      </c>
      <c r="C183" s="11" t="n">
        <f aca="false">IFERROR(VLOOKUP(A183,Cleaned_Appointment!$B:$G,5,FALSE()),"N/A")</f>
        <v>0.354166666666667</v>
      </c>
      <c r="D183" s="7" t="str">
        <f aca="false">Cleaned_Feedback!C183</f>
        <v>Cardiology</v>
      </c>
      <c r="E183" s="7" t="n">
        <f aca="false">Cleaned_Feedback!D183</f>
        <v>9</v>
      </c>
      <c r="F183" s="7" t="str">
        <f aca="false">Cleaned_Feedback!E183</f>
        <v>Excellent care</v>
      </c>
      <c r="G183" s="7" t="n">
        <f aca="false">Cleaned_Feedback!F183</f>
        <v>30</v>
      </c>
      <c r="H183" s="7" t="str">
        <f aca="false">IF(ISNUMBER(E183),IF(E183&gt;=4,"High","Low"),"N/A")</f>
        <v>High</v>
      </c>
      <c r="I183" s="7" t="n">
        <f aca="false">IFERROR(HOUR(C183),"N/A")</f>
        <v>8</v>
      </c>
    </row>
    <row r="184" customFormat="false" ht="15" hidden="false" customHeight="true" outlineLevel="0" collapsed="false">
      <c r="A184" s="7" t="str">
        <f aca="false">Cleaned_Feedback!B184</f>
        <v>P40762</v>
      </c>
      <c r="B184" s="10" t="n">
        <f aca="false">IFERROR(VLOOKUP(A184,Cleaned_Appointment!$B:$G,4,FALSE()),"N/A")</f>
        <v>45294</v>
      </c>
      <c r="C184" s="11" t="n">
        <f aca="false">IFERROR(VLOOKUP(A184,Cleaned_Appointment!$B:$G,5,FALSE()),"N/A")</f>
        <v>0.5</v>
      </c>
      <c r="D184" s="7" t="str">
        <f aca="false">Cleaned_Feedback!C184</f>
        <v>Neurology</v>
      </c>
      <c r="E184" s="7" t="n">
        <f aca="false">Cleaned_Feedback!D184</f>
        <v>5</v>
      </c>
      <c r="F184" s="7" t="str">
        <f aca="false">Cleaned_Feedback!E184</f>
        <v>Average</v>
      </c>
      <c r="G184" s="7" t="n">
        <f aca="false">Cleaned_Feedback!F184</f>
        <v>45</v>
      </c>
      <c r="H184" s="7" t="str">
        <f aca="false">IF(ISNUMBER(E184),IF(E184&gt;=4,"High","Low"),"N/A")</f>
        <v>High</v>
      </c>
      <c r="I184" s="7" t="n">
        <f aca="false">IFERROR(HOUR(C184),"N/A")</f>
        <v>12</v>
      </c>
    </row>
    <row r="185" customFormat="false" ht="15" hidden="false" customHeight="true" outlineLevel="0" collapsed="false">
      <c r="A185" s="7" t="str">
        <f aca="false">Cleaned_Feedback!B185</f>
        <v>P86619</v>
      </c>
      <c r="B185" s="10" t="n">
        <f aca="false">IFERROR(VLOOKUP(A185,Cleaned_Appointment!$B:$G,4,FALSE()),"N/A")</f>
        <v>45573</v>
      </c>
      <c r="C185" s="11" t="n">
        <f aca="false">IFERROR(VLOOKUP(A185,Cleaned_Appointment!$B:$G,5,FALSE()),"N/A")</f>
        <v>0.6875</v>
      </c>
      <c r="D185" s="7" t="str">
        <f aca="false">Cleaned_Feedback!C185</f>
        <v>Neurology</v>
      </c>
      <c r="E185" s="7" t="n">
        <f aca="false">Cleaned_Feedback!D185</f>
        <v>5</v>
      </c>
      <c r="F185" s="7" t="str">
        <f aca="false">Cleaned_Feedback!E185</f>
        <v>Average</v>
      </c>
      <c r="G185" s="7" t="n">
        <f aca="false">Cleaned_Feedback!F185</f>
        <v>45</v>
      </c>
      <c r="H185" s="7" t="str">
        <f aca="false">IF(ISNUMBER(E185),IF(E185&gt;=4,"High","Low"),"N/A")</f>
        <v>High</v>
      </c>
      <c r="I185" s="7" t="n">
        <f aca="false">IFERROR(HOUR(C185),"N/A")</f>
        <v>16</v>
      </c>
    </row>
    <row r="186" customFormat="false" ht="15" hidden="false" customHeight="true" outlineLevel="0" collapsed="false">
      <c r="A186" s="7" t="str">
        <f aca="false">Cleaned_Feedback!B186</f>
        <v>P81174</v>
      </c>
      <c r="B186" s="10" t="n">
        <f aca="false">IFERROR(VLOOKUP(A186,Cleaned_Appointment!$B:$G,4,FALSE()),"N/A")</f>
        <v>45543</v>
      </c>
      <c r="C186" s="11" t="n">
        <f aca="false">IFERROR(VLOOKUP(A186,Cleaned_Appointment!$B:$G,5,FALSE()),"N/A")</f>
        <v>0.708333333333333</v>
      </c>
      <c r="D186" s="7" t="str">
        <f aca="false">Cleaned_Feedback!C186</f>
        <v>General Medicine</v>
      </c>
      <c r="E186" s="7" t="n">
        <f aca="false">Cleaned_Feedback!D186</f>
        <v>6</v>
      </c>
      <c r="F186" s="7" t="str">
        <f aca="false">Cleaned_Feedback!E186</f>
        <v>Very good</v>
      </c>
      <c r="G186" s="7" t="n">
        <f aca="false">Cleaned_Feedback!F186</f>
        <v>45</v>
      </c>
      <c r="H186" s="7" t="str">
        <f aca="false">IF(ISNUMBER(E186),IF(E186&gt;=4,"High","Low"),"N/A")</f>
        <v>High</v>
      </c>
      <c r="I186" s="7" t="n">
        <f aca="false">IFERROR(HOUR(C186),"N/A")</f>
        <v>17</v>
      </c>
    </row>
    <row r="187" customFormat="false" ht="15" hidden="false" customHeight="true" outlineLevel="0" collapsed="false">
      <c r="A187" s="7" t="str">
        <f aca="false">Cleaned_Feedback!B187</f>
        <v>P90601</v>
      </c>
      <c r="B187" s="10" t="n">
        <f aca="false">IFERROR(VLOOKUP(A187,Cleaned_Appointment!$B:$G,4,FALSE()),"N/A")</f>
        <v>45543</v>
      </c>
      <c r="C187" s="11" t="n">
        <f aca="false">IFERROR(VLOOKUP(A187,Cleaned_Appointment!$B:$G,5,FALSE()),"N/A")</f>
        <v>0.333333333333333</v>
      </c>
      <c r="D187" s="7" t="str">
        <f aca="false">Cleaned_Feedback!C187</f>
        <v>Neurology</v>
      </c>
      <c r="E187" s="7" t="n">
        <f aca="false">Cleaned_Feedback!D187</f>
        <v>7</v>
      </c>
      <c r="F187" s="7" t="str">
        <f aca="false">Cleaned_Feedback!E187</f>
        <v>Satisfactory</v>
      </c>
      <c r="G187" s="7" t="n">
        <f aca="false">Cleaned_Feedback!F187</f>
        <v>45</v>
      </c>
      <c r="H187" s="7" t="str">
        <f aca="false">IF(ISNUMBER(E187),IF(E187&gt;=4,"High","Low"),"N/A")</f>
        <v>High</v>
      </c>
      <c r="I187" s="7" t="n">
        <f aca="false">IFERROR(HOUR(C187),"N/A")</f>
        <v>8</v>
      </c>
    </row>
    <row r="188" customFormat="false" ht="15" hidden="false" customHeight="true" outlineLevel="0" collapsed="false">
      <c r="A188" s="7" t="str">
        <f aca="false">Cleaned_Feedback!B188</f>
        <v>P22337</v>
      </c>
      <c r="B188" s="10" t="n">
        <f aca="false">IFERROR(VLOOKUP(A188,Cleaned_Appointment!$B:$G,4,FALSE()),"N/A")</f>
        <v>45319</v>
      </c>
      <c r="C188" s="11" t="n">
        <f aca="false">IFERROR(VLOOKUP(A188,Cleaned_Appointment!$B:$G,5,FALSE()),"N/A")</f>
        <v>0.666666666666667</v>
      </c>
      <c r="D188" s="7" t="str">
        <f aca="false">Cleaned_Feedback!C188</f>
        <v>Oncology</v>
      </c>
      <c r="E188" s="7" t="n">
        <f aca="false">Cleaned_Feedback!D188</f>
        <v>3</v>
      </c>
      <c r="F188" s="7" t="str">
        <f aca="false">Cleaned_Feedback!E188</f>
        <v>Long wait times</v>
      </c>
      <c r="G188" s="7" t="n">
        <f aca="false">Cleaned_Feedback!F188</f>
        <v>45</v>
      </c>
      <c r="H188" s="7" t="str">
        <f aca="false">IF(ISNUMBER(E188),IF(E188&gt;=4,"High","Low"),"N/A")</f>
        <v>Low</v>
      </c>
      <c r="I188" s="7" t="n">
        <f aca="false">IFERROR(HOUR(C188),"N/A")</f>
        <v>16</v>
      </c>
    </row>
    <row r="189" customFormat="false" ht="15" hidden="false" customHeight="true" outlineLevel="0" collapsed="false">
      <c r="A189" s="7" t="str">
        <f aca="false">Cleaned_Feedback!B189</f>
        <v>P60677</v>
      </c>
      <c r="B189" s="10" t="n">
        <f aca="false">IFERROR(VLOOKUP(A189,Cleaned_Appointment!$B:$G,4,FALSE()),"N/A")</f>
        <v>45427</v>
      </c>
      <c r="C189" s="11" t="n">
        <f aca="false">IFERROR(VLOOKUP(A189,Cleaned_Appointment!$B:$G,5,FALSE()),"N/A")</f>
        <v>0.604166666666667</v>
      </c>
      <c r="D189" s="7" t="str">
        <f aca="false">Cleaned_Feedback!C189</f>
        <v>Neurology</v>
      </c>
      <c r="E189" s="7" t="n">
        <f aca="false">Cleaned_Feedback!D189</f>
        <v>8</v>
      </c>
      <c r="F189" s="7" t="str">
        <f aca="false">Cleaned_Feedback!E189</f>
        <v>Efficient process</v>
      </c>
      <c r="G189" s="7" t="n">
        <f aca="false">Cleaned_Feedback!F189</f>
        <v>45</v>
      </c>
      <c r="H189" s="7" t="str">
        <f aca="false">IF(ISNUMBER(E189),IF(E189&gt;=4,"High","Low"),"N/A")</f>
        <v>High</v>
      </c>
      <c r="I189" s="7" t="n">
        <f aca="false">IFERROR(HOUR(C189),"N/A")</f>
        <v>14</v>
      </c>
    </row>
    <row r="190" customFormat="false" ht="15" hidden="false" customHeight="true" outlineLevel="0" collapsed="false">
      <c r="A190" s="7" t="str">
        <f aca="false">Cleaned_Feedback!B190</f>
        <v>P75831</v>
      </c>
      <c r="B190" s="10" t="n">
        <f aca="false">IFERROR(VLOOKUP(A190,Cleaned_Appointment!$B:$G,4,FALSE()),"N/A")</f>
        <v>45455</v>
      </c>
      <c r="C190" s="11" t="n">
        <f aca="false">IFERROR(VLOOKUP(A190,Cleaned_Appointment!$B:$G,5,FALSE()),"N/A")</f>
        <v>0.666666666666667</v>
      </c>
      <c r="D190" s="7" t="str">
        <f aca="false">Cleaned_Feedback!C190</f>
        <v>Oncology</v>
      </c>
      <c r="E190" s="7" t="n">
        <f aca="false">Cleaned_Feedback!D190</f>
        <v>4</v>
      </c>
      <c r="F190" s="7" t="str">
        <f aca="false">Cleaned_Feedback!E190</f>
        <v>Delayed response</v>
      </c>
      <c r="G190" s="7" t="n">
        <f aca="false">Cleaned_Feedback!F190</f>
        <v>45</v>
      </c>
      <c r="H190" s="7" t="str">
        <f aca="false">IF(ISNUMBER(E190),IF(E190&gt;=4,"High","Low"),"N/A")</f>
        <v>High</v>
      </c>
      <c r="I190" s="7" t="n">
        <f aca="false">IFERROR(HOUR(C190),"N/A")</f>
        <v>16</v>
      </c>
    </row>
    <row r="191" customFormat="false" ht="15" hidden="false" customHeight="true" outlineLevel="0" collapsed="false">
      <c r="A191" s="7" t="str">
        <f aca="false">Cleaned_Feedback!B191</f>
        <v>P68253</v>
      </c>
      <c r="B191" s="10" t="n">
        <f aca="false">IFERROR(VLOOKUP(A191,Cleaned_Appointment!$B:$G,4,FALSE()),"N/A")</f>
        <v>45364</v>
      </c>
      <c r="C191" s="11" t="n">
        <f aca="false">IFERROR(VLOOKUP(A191,Cleaned_Appointment!$B:$G,5,FALSE()),"N/A")</f>
        <v>0.583333333333333</v>
      </c>
      <c r="D191" s="7" t="str">
        <f aca="false">Cleaned_Feedback!C191</f>
        <v>General Medicine</v>
      </c>
      <c r="E191" s="7" t="n">
        <f aca="false">Cleaned_Feedback!D191</f>
        <v>3</v>
      </c>
      <c r="F191" s="7" t="str">
        <f aca="false">Cleaned_Feedback!E191</f>
        <v>Long wait times</v>
      </c>
      <c r="G191" s="7" t="n">
        <f aca="false">Cleaned_Feedback!F191</f>
        <v>45</v>
      </c>
      <c r="H191" s="7" t="str">
        <f aca="false">IF(ISNUMBER(E191),IF(E191&gt;=4,"High","Low"),"N/A")</f>
        <v>Low</v>
      </c>
      <c r="I191" s="7" t="n">
        <f aca="false">IFERROR(HOUR(C191),"N/A")</f>
        <v>14</v>
      </c>
    </row>
    <row r="192" customFormat="false" ht="15" hidden="false" customHeight="true" outlineLevel="0" collapsed="false">
      <c r="A192" s="7" t="str">
        <f aca="false">Cleaned_Feedback!B192</f>
        <v>P14650</v>
      </c>
      <c r="B192" s="10" t="n">
        <f aca="false">IFERROR(VLOOKUP(A192,Cleaned_Appointment!$B:$G,4,FALSE()),"N/A")</f>
        <v>45435</v>
      </c>
      <c r="C192" s="11" t="n">
        <f aca="false">IFERROR(VLOOKUP(A192,Cleaned_Appointment!$B:$G,5,FALSE()),"N/A")</f>
        <v>0.645833333333333</v>
      </c>
      <c r="D192" s="7" t="str">
        <f aca="false">Cleaned_Feedback!C192</f>
        <v>Cardiology</v>
      </c>
      <c r="E192" s="7" t="n">
        <f aca="false">Cleaned_Feedback!D192</f>
        <v>9</v>
      </c>
      <c r="F192" s="7" t="str">
        <f aca="false">Cleaned_Feedback!E192</f>
        <v>Amazing team</v>
      </c>
      <c r="G192" s="7" t="n">
        <f aca="false">Cleaned_Feedback!F192</f>
        <v>30</v>
      </c>
      <c r="H192" s="7" t="str">
        <f aca="false">IF(ISNUMBER(E192),IF(E192&gt;=4,"High","Low"),"N/A")</f>
        <v>High</v>
      </c>
      <c r="I192" s="7" t="n">
        <f aca="false">IFERROR(HOUR(C192),"N/A")</f>
        <v>15</v>
      </c>
    </row>
    <row r="193" customFormat="false" ht="15" hidden="false" customHeight="true" outlineLevel="0" collapsed="false">
      <c r="A193" s="7" t="str">
        <f aca="false">Cleaned_Feedback!B193</f>
        <v>P15250</v>
      </c>
      <c r="B193" s="10" t="n">
        <f aca="false">IFERROR(VLOOKUP(A193,Cleaned_Appointment!$B:$G,4,FALSE()),"N/A")</f>
        <v>45317</v>
      </c>
      <c r="C193" s="11" t="n">
        <f aca="false">IFERROR(VLOOKUP(A193,Cleaned_Appointment!$B:$G,5,FALSE()),"N/A")</f>
        <v>0.604166666666667</v>
      </c>
      <c r="D193" s="7" t="str">
        <f aca="false">Cleaned_Feedback!C193</f>
        <v>Cardiology</v>
      </c>
      <c r="E193" s="7" t="n">
        <f aca="false">Cleaned_Feedback!D193</f>
        <v>9</v>
      </c>
      <c r="F193" s="7" t="str">
        <f aca="false">Cleaned_Feedback!E193</f>
        <v>Highly recommended</v>
      </c>
      <c r="G193" s="7" t="n">
        <f aca="false">Cleaned_Feedback!F193</f>
        <v>30</v>
      </c>
      <c r="H193" s="7" t="str">
        <f aca="false">IF(ISNUMBER(E193),IF(E193&gt;=4,"High","Low"),"N/A")</f>
        <v>High</v>
      </c>
      <c r="I193" s="7" t="n">
        <f aca="false">IFERROR(HOUR(C193),"N/A")</f>
        <v>14</v>
      </c>
    </row>
    <row r="194" customFormat="false" ht="15" hidden="false" customHeight="true" outlineLevel="0" collapsed="false">
      <c r="A194" s="7" t="str">
        <f aca="false">Cleaned_Feedback!B194</f>
        <v>P10797</v>
      </c>
      <c r="B194" s="10" t="n">
        <f aca="false">IFERROR(VLOOKUP(A194,Cleaned_Appointment!$B:$G,4,FALSE()),"N/A")</f>
        <v>45527</v>
      </c>
      <c r="C194" s="11" t="n">
        <f aca="false">IFERROR(VLOOKUP(A194,Cleaned_Appointment!$B:$G,5,FALSE()),"N/A")</f>
        <v>0.458333333333333</v>
      </c>
      <c r="D194" s="7" t="str">
        <f aca="false">Cleaned_Feedback!C194</f>
        <v>Neurology</v>
      </c>
      <c r="E194" s="7" t="n">
        <f aca="false">Cleaned_Feedback!D194</f>
        <v>8</v>
      </c>
      <c r="F194" s="7" t="str">
        <f aca="false">Cleaned_Feedback!E194</f>
        <v>Efficient process</v>
      </c>
      <c r="G194" s="7" t="n">
        <f aca="false">Cleaned_Feedback!F194</f>
        <v>45</v>
      </c>
      <c r="H194" s="7" t="str">
        <f aca="false">IF(ISNUMBER(E194),IF(E194&gt;=4,"High","Low"),"N/A")</f>
        <v>High</v>
      </c>
      <c r="I194" s="7" t="n">
        <f aca="false">IFERROR(HOUR(C194),"N/A")</f>
        <v>11</v>
      </c>
    </row>
    <row r="195" customFormat="false" ht="15" hidden="false" customHeight="true" outlineLevel="0" collapsed="false">
      <c r="A195" s="7" t="str">
        <f aca="false">Cleaned_Feedback!B195</f>
        <v>P30694</v>
      </c>
      <c r="B195" s="10" t="n">
        <f aca="false">IFERROR(VLOOKUP(A195,Cleaned_Appointment!$B:$G,4,FALSE()),"N/A")</f>
        <v>45377</v>
      </c>
      <c r="C195" s="11" t="n">
        <f aca="false">IFERROR(VLOOKUP(A195,Cleaned_Appointment!$B:$G,5,FALSE()),"N/A")</f>
        <v>0.395833333333333</v>
      </c>
      <c r="D195" s="7" t="str">
        <f aca="false">Cleaned_Feedback!C195</f>
        <v>General Medicine</v>
      </c>
      <c r="E195" s="7" t="n">
        <f aca="false">Cleaned_Feedback!D195</f>
        <v>6</v>
      </c>
      <c r="F195" s="7" t="str">
        <f aca="false">Cleaned_Feedback!E195</f>
        <v>Very good</v>
      </c>
      <c r="G195" s="7" t="n">
        <f aca="false">Cleaned_Feedback!F195</f>
        <v>45</v>
      </c>
      <c r="H195" s="7" t="str">
        <f aca="false">IF(ISNUMBER(E195),IF(E195&gt;=4,"High","Low"),"N/A")</f>
        <v>High</v>
      </c>
      <c r="I195" s="7" t="n">
        <f aca="false">IFERROR(HOUR(C195),"N/A")</f>
        <v>9</v>
      </c>
    </row>
    <row r="196" customFormat="false" ht="15" hidden="false" customHeight="true" outlineLevel="0" collapsed="false">
      <c r="A196" s="7" t="str">
        <f aca="false">Cleaned_Feedback!B196</f>
        <v>P59755</v>
      </c>
      <c r="B196" s="10" t="n">
        <f aca="false">IFERROR(VLOOKUP(A196,Cleaned_Appointment!$B:$G,4,FALSE()),"N/A")</f>
        <v>45645</v>
      </c>
      <c r="C196" s="11" t="n">
        <f aca="false">IFERROR(VLOOKUP(A196,Cleaned_Appointment!$B:$G,5,FALSE()),"N/A")</f>
        <v>0.375</v>
      </c>
      <c r="D196" s="7" t="str">
        <f aca="false">Cleaned_Feedback!C196</f>
        <v>N/A</v>
      </c>
      <c r="E196" s="7" t="n">
        <f aca="false">Cleaned_Feedback!D196</f>
        <v>6.27</v>
      </c>
      <c r="F196" s="7" t="str">
        <f aca="false">Cleaned_Feedback!E196</f>
        <v>Highly recommended</v>
      </c>
      <c r="G196" s="7" t="str">
        <f aca="false">Cleaned_Feedback!F196</f>
        <v>N/A</v>
      </c>
      <c r="H196" s="7" t="str">
        <f aca="false">IF(ISNUMBER(E196),IF(E196&gt;=4,"High","Low"),"N/A")</f>
        <v>High</v>
      </c>
      <c r="I196" s="7" t="n">
        <f aca="false">IFERROR(HOUR(C196),"N/A")</f>
        <v>9</v>
      </c>
    </row>
    <row r="197" customFormat="false" ht="15" hidden="false" customHeight="true" outlineLevel="0" collapsed="false">
      <c r="A197" s="7" t="str">
        <f aca="false">Cleaned_Feedback!B197</f>
        <v>P80770</v>
      </c>
      <c r="B197" s="10" t="n">
        <f aca="false">IFERROR(VLOOKUP(A197,Cleaned_Appointment!$B:$G,4,FALSE()),"N/A")</f>
        <v>45368</v>
      </c>
      <c r="C197" s="11" t="n">
        <f aca="false">IFERROR(VLOOKUP(A197,Cleaned_Appointment!$B:$G,5,FALSE()),"N/A")</f>
        <v>0.375</v>
      </c>
      <c r="D197" s="7" t="str">
        <f aca="false">Cleaned_Feedback!C197</f>
        <v>Oncology</v>
      </c>
      <c r="E197" s="7" t="n">
        <f aca="false">Cleaned_Feedback!D197</f>
        <v>3</v>
      </c>
      <c r="F197" s="7" t="str">
        <f aca="false">Cleaned_Feedback!E197</f>
        <v>Needs improvement</v>
      </c>
      <c r="G197" s="7" t="n">
        <f aca="false">Cleaned_Feedback!F197</f>
        <v>45</v>
      </c>
      <c r="H197" s="7" t="str">
        <f aca="false">IF(ISNUMBER(E197),IF(E197&gt;=4,"High","Low"),"N/A")</f>
        <v>Low</v>
      </c>
      <c r="I197" s="7" t="n">
        <f aca="false">IFERROR(HOUR(C197),"N/A")</f>
        <v>9</v>
      </c>
    </row>
    <row r="198" customFormat="false" ht="15" hidden="false" customHeight="true" outlineLevel="0" collapsed="false">
      <c r="A198" s="7" t="str">
        <f aca="false">Cleaned_Feedback!B198</f>
        <v>P67482</v>
      </c>
      <c r="B198" s="10" t="n">
        <f aca="false">IFERROR(VLOOKUP(A198,Cleaned_Appointment!$B:$G,4,FALSE()),"N/A")</f>
        <v>45432</v>
      </c>
      <c r="C198" s="11" t="n">
        <f aca="false">IFERROR(VLOOKUP(A198,Cleaned_Appointment!$B:$G,5,FALSE()),"N/A")</f>
        <v>0.479166666666667</v>
      </c>
      <c r="D198" s="7" t="str">
        <f aca="false">Cleaned_Feedback!C198</f>
        <v>Oncology</v>
      </c>
      <c r="E198" s="7" t="n">
        <f aca="false">Cleaned_Feedback!D198</f>
        <v>9</v>
      </c>
      <c r="F198" s="7" t="str">
        <f aca="false">Cleaned_Feedback!E198</f>
        <v>Amazing team</v>
      </c>
      <c r="G198" s="7" t="n">
        <f aca="false">Cleaned_Feedback!F198</f>
        <v>30</v>
      </c>
      <c r="H198" s="7" t="str">
        <f aca="false">IF(ISNUMBER(E198),IF(E198&gt;=4,"High","Low"),"N/A")</f>
        <v>High</v>
      </c>
      <c r="I198" s="7" t="n">
        <f aca="false">IFERROR(HOUR(C198),"N/A")</f>
        <v>11</v>
      </c>
    </row>
    <row r="199" customFormat="false" ht="15" hidden="false" customHeight="true" outlineLevel="0" collapsed="false">
      <c r="A199" s="7" t="str">
        <f aca="false">Cleaned_Feedback!B199</f>
        <v>P13204</v>
      </c>
      <c r="B199" s="10" t="n">
        <f aca="false">IFERROR(VLOOKUP(A199,Cleaned_Appointment!$B:$G,4,FALSE()),"N/A")</f>
        <v>45568</v>
      </c>
      <c r="C199" s="11" t="n">
        <f aca="false">IFERROR(VLOOKUP(A199,Cleaned_Appointment!$B:$G,5,FALSE()),"N/A")</f>
        <v>0.479166666666667</v>
      </c>
      <c r="D199" s="7" t="str">
        <f aca="false">Cleaned_Feedback!C199</f>
        <v>Cardiology</v>
      </c>
      <c r="E199" s="7" t="n">
        <f aca="false">Cleaned_Feedback!D199</f>
        <v>5</v>
      </c>
      <c r="F199" s="7" t="str">
        <f aca="false">Cleaned_Feedback!E199</f>
        <v>Average</v>
      </c>
      <c r="G199" s="7" t="n">
        <f aca="false">Cleaned_Feedback!F199</f>
        <v>45</v>
      </c>
      <c r="H199" s="7" t="str">
        <f aca="false">IF(ISNUMBER(E199),IF(E199&gt;=4,"High","Low"),"N/A")</f>
        <v>High</v>
      </c>
      <c r="I199" s="7" t="n">
        <f aca="false">IFERROR(HOUR(C199),"N/A")</f>
        <v>11</v>
      </c>
    </row>
    <row r="200" customFormat="false" ht="15" hidden="false" customHeight="true" outlineLevel="0" collapsed="false">
      <c r="A200" s="7" t="str">
        <f aca="false">Cleaned_Feedback!B200</f>
        <v>N/A</v>
      </c>
      <c r="B200" s="10" t="str">
        <f aca="false">IFERROR(VLOOKUP(A200,Cleaned_Appointment!$B:$G,4,FALSE()),"N/A")</f>
        <v>N/A</v>
      </c>
      <c r="C200" s="11" t="str">
        <f aca="false">IFERROR(VLOOKUP(A200,Cleaned_Appointment!$B:$G,5,FALSE()),"N/A")</f>
        <v>N/A</v>
      </c>
      <c r="D200" s="7" t="str">
        <f aca="false">Cleaned_Feedback!C200</f>
        <v>N/A</v>
      </c>
      <c r="E200" s="7" t="n">
        <f aca="false">Cleaned_Feedback!D200</f>
        <v>6.27</v>
      </c>
      <c r="F200" s="7" t="str">
        <f aca="false">Cleaned_Feedback!E200</f>
        <v>N/A</v>
      </c>
      <c r="G200" s="7" t="str">
        <f aca="false">Cleaned_Feedback!F200</f>
        <v>N/A</v>
      </c>
      <c r="H200" s="7" t="str">
        <f aca="false">IF(ISNUMBER(E200),IF(E200&gt;=4,"High","Low"),"N/A")</f>
        <v>High</v>
      </c>
      <c r="I200" s="7" t="str">
        <f aca="false">IFERROR(HOUR(C200),"N/A")</f>
        <v>N/A</v>
      </c>
    </row>
  </sheetData>
  <autoFilter ref="A1:H20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8" width="18"/>
    <col collapsed="false" customWidth="true" hidden="false" outlineLevel="0" max="14" min="2" style="8" width="9"/>
  </cols>
  <sheetData>
    <row r="1" customFormat="false" ht="15.75" hidden="false" customHeight="true" outlineLevel="0" collapsed="false">
      <c r="A1" s="12" t="s">
        <v>870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3" customFormat="false" ht="15" hidden="false" customHeight="true" outlineLevel="0" collapsed="false">
      <c r="A3" s="9" t="s">
        <v>3</v>
      </c>
      <c r="B3" s="9" t="s">
        <v>871</v>
      </c>
      <c r="C3" s="9" t="s">
        <v>872</v>
      </c>
      <c r="D3" s="9" t="s">
        <v>873</v>
      </c>
      <c r="E3" s="9" t="s">
        <v>874</v>
      </c>
      <c r="F3" s="9" t="s">
        <v>875</v>
      </c>
      <c r="G3" s="9" t="s">
        <v>876</v>
      </c>
      <c r="H3" s="9" t="s">
        <v>877</v>
      </c>
      <c r="I3" s="9" t="s">
        <v>878</v>
      </c>
      <c r="J3" s="9" t="s">
        <v>879</v>
      </c>
      <c r="K3" s="9" t="s">
        <v>880</v>
      </c>
      <c r="L3" s="9" t="s">
        <v>881</v>
      </c>
      <c r="M3" s="9" t="s">
        <v>9</v>
      </c>
      <c r="N3" s="9" t="s">
        <v>882</v>
      </c>
    </row>
    <row r="4" customFormat="false" ht="15" hidden="false" customHeight="true" outlineLevel="0" collapsed="false">
      <c r="A4" s="13" t="s">
        <v>12</v>
      </c>
      <c r="B4" s="13" t="n">
        <f aca="false">COUNTIFS(Cleaned_Appointment!$D$2:$D$202,"Cardiology",Cleaned_Appointment!$H$2:$H$202,8)</f>
        <v>5</v>
      </c>
      <c r="C4" s="13" t="n">
        <f aca="false">COUNTIFS(Cleaned_Appointment!$D$2:$D$202,"Cardiology",Cleaned_Appointment!$H$2:$H$202,9)</f>
        <v>2</v>
      </c>
      <c r="D4" s="13" t="n">
        <f aca="false">COUNTIFS(Cleaned_Appointment!$D$2:$D$202,"Cardiology",Cleaned_Appointment!$H$2:$H$202,10)</f>
        <v>0</v>
      </c>
      <c r="E4" s="13" t="n">
        <f aca="false">COUNTIFS(Cleaned_Appointment!$D$2:$D$202,"Cardiology",Cleaned_Appointment!$H$2:$H$202,11)</f>
        <v>3</v>
      </c>
      <c r="F4" s="13" t="n">
        <f aca="false">COUNTIFS(Cleaned_Appointment!$D$2:$D$202,"Cardiology",Cleaned_Appointment!$H$2:$H$202,12)</f>
        <v>6</v>
      </c>
      <c r="G4" s="13" t="n">
        <f aca="false">COUNTIFS(Cleaned_Appointment!$D$2:$D$202,"Cardiology",Cleaned_Appointment!$H$2:$H$202,13)</f>
        <v>2</v>
      </c>
      <c r="H4" s="13" t="n">
        <f aca="false">COUNTIFS(Cleaned_Appointment!$D$2:$D$202,"Cardiology",Cleaned_Appointment!$H$2:$H$202,14)</f>
        <v>4</v>
      </c>
      <c r="I4" s="13" t="n">
        <f aca="false">COUNTIFS(Cleaned_Appointment!$D$2:$D$202,"Cardiology",Cleaned_Appointment!$H$2:$H$202,15)</f>
        <v>7</v>
      </c>
      <c r="J4" s="13" t="n">
        <f aca="false">COUNTIFS(Cleaned_Appointment!$D$2:$D$202,"Cardiology",Cleaned_Appointment!$H$2:$H$202,16)</f>
        <v>2</v>
      </c>
      <c r="K4" s="13" t="n">
        <f aca="false">COUNTIFS(Cleaned_Appointment!$D$2:$D$202,"Cardiology",Cleaned_Appointment!$H$2:$H$202,17)</f>
        <v>4</v>
      </c>
      <c r="L4" s="13" t="n">
        <f aca="false">COUNTIFS(Cleaned_Appointment!$D$2:$D$202,"Cardiology",Cleaned_Appointment!$H$2:$H$202,18)</f>
        <v>2</v>
      </c>
      <c r="M4" s="13" t="n">
        <f aca="false">COUNTIFS(Cleaned_Appointment!$D$2:$D$202,"Cardiology",Cleaned_Appointment!$H$2:$H$202,"N/A")</f>
        <v>1</v>
      </c>
      <c r="N4" s="14" t="n">
        <f aca="false">SUM(B4:M4)</f>
        <v>38</v>
      </c>
    </row>
    <row r="5" customFormat="false" ht="15" hidden="false" customHeight="true" outlineLevel="0" collapsed="false">
      <c r="A5" s="13" t="s">
        <v>77</v>
      </c>
      <c r="B5" s="13" t="n">
        <f aca="false">COUNTIFS(Cleaned_Appointment!$D$2:$D$202,"General Medicine",Cleaned_Appointment!$H$2:$H$202,8)</f>
        <v>3</v>
      </c>
      <c r="C5" s="13" t="n">
        <f aca="false">COUNTIFS(Cleaned_Appointment!$D$2:$D$202,"General Medicine",Cleaned_Appointment!$H$2:$H$202,9)</f>
        <v>2</v>
      </c>
      <c r="D5" s="13" t="n">
        <f aca="false">COUNTIFS(Cleaned_Appointment!$D$2:$D$202,"General Medicine",Cleaned_Appointment!$H$2:$H$202,10)</f>
        <v>2</v>
      </c>
      <c r="E5" s="13" t="n">
        <f aca="false">COUNTIFS(Cleaned_Appointment!$D$2:$D$202,"General Medicine",Cleaned_Appointment!$H$2:$H$202,11)</f>
        <v>2</v>
      </c>
      <c r="F5" s="13" t="n">
        <f aca="false">COUNTIFS(Cleaned_Appointment!$D$2:$D$202,"General Medicine",Cleaned_Appointment!$H$2:$H$202,12)</f>
        <v>2</v>
      </c>
      <c r="G5" s="13" t="n">
        <f aca="false">COUNTIFS(Cleaned_Appointment!$D$2:$D$202,"General Medicine",Cleaned_Appointment!$H$2:$H$202,13)</f>
        <v>3</v>
      </c>
      <c r="H5" s="13" t="n">
        <f aca="false">COUNTIFS(Cleaned_Appointment!$D$2:$D$202,"General Medicine",Cleaned_Appointment!$H$2:$H$202,14)</f>
        <v>2</v>
      </c>
      <c r="I5" s="13" t="n">
        <f aca="false">COUNTIFS(Cleaned_Appointment!$D$2:$D$202,"General Medicine",Cleaned_Appointment!$H$2:$H$202,15)</f>
        <v>1</v>
      </c>
      <c r="J5" s="13" t="n">
        <f aca="false">COUNTIFS(Cleaned_Appointment!$D$2:$D$202,"General Medicine",Cleaned_Appointment!$H$2:$H$202,16)</f>
        <v>3</v>
      </c>
      <c r="K5" s="13" t="n">
        <f aca="false">COUNTIFS(Cleaned_Appointment!$D$2:$D$202,"General Medicine",Cleaned_Appointment!$H$2:$H$202,17)</f>
        <v>2</v>
      </c>
      <c r="L5" s="13" t="n">
        <f aca="false">COUNTIFS(Cleaned_Appointment!$D$2:$D$202,"General Medicine",Cleaned_Appointment!$H$2:$H$202,18)</f>
        <v>4</v>
      </c>
      <c r="M5" s="13" t="n">
        <f aca="false">COUNTIFS(Cleaned_Appointment!$D$2:$D$202,"General Medicine",Cleaned_Appointment!$H$2:$H$202,"N/A")</f>
        <v>1</v>
      </c>
      <c r="N5" s="14" t="n">
        <f aca="false">SUM(B5:M5)</f>
        <v>27</v>
      </c>
    </row>
    <row r="6" customFormat="false" ht="15" hidden="false" customHeight="true" outlineLevel="0" collapsed="false">
      <c r="A6" s="13" t="s">
        <v>24</v>
      </c>
      <c r="B6" s="13" t="n">
        <f aca="false">COUNTIFS(Cleaned_Appointment!$D$2:$D$202,"Neurology",Cleaned_Appointment!$H$2:$H$202,8)</f>
        <v>3</v>
      </c>
      <c r="C6" s="13" t="n">
        <f aca="false">COUNTIFS(Cleaned_Appointment!$D$2:$D$202,"Neurology",Cleaned_Appointment!$H$2:$H$202,9)</f>
        <v>1</v>
      </c>
      <c r="D6" s="13" t="n">
        <f aca="false">COUNTIFS(Cleaned_Appointment!$D$2:$D$202,"Neurology",Cleaned_Appointment!$H$2:$H$202,10)</f>
        <v>5</v>
      </c>
      <c r="E6" s="13" t="n">
        <f aca="false">COUNTIFS(Cleaned_Appointment!$D$2:$D$202,"Neurology",Cleaned_Appointment!$H$2:$H$202,11)</f>
        <v>4</v>
      </c>
      <c r="F6" s="13" t="n">
        <f aca="false">COUNTIFS(Cleaned_Appointment!$D$2:$D$202,"Neurology",Cleaned_Appointment!$H$2:$H$202,12)</f>
        <v>6</v>
      </c>
      <c r="G6" s="13" t="n">
        <f aca="false">COUNTIFS(Cleaned_Appointment!$D$2:$D$202,"Neurology",Cleaned_Appointment!$H$2:$H$202,13)</f>
        <v>0</v>
      </c>
      <c r="H6" s="13" t="n">
        <f aca="false">COUNTIFS(Cleaned_Appointment!$D$2:$D$202,"Neurology",Cleaned_Appointment!$H$2:$H$202,14)</f>
        <v>2</v>
      </c>
      <c r="I6" s="13" t="n">
        <f aca="false">COUNTIFS(Cleaned_Appointment!$D$2:$D$202,"Neurology",Cleaned_Appointment!$H$2:$H$202,15)</f>
        <v>4</v>
      </c>
      <c r="J6" s="13" t="n">
        <f aca="false">COUNTIFS(Cleaned_Appointment!$D$2:$D$202,"Neurology",Cleaned_Appointment!$H$2:$H$202,16)</f>
        <v>2</v>
      </c>
      <c r="K6" s="13" t="n">
        <f aca="false">COUNTIFS(Cleaned_Appointment!$D$2:$D$202,"Neurology",Cleaned_Appointment!$H$2:$H$202,17)</f>
        <v>2</v>
      </c>
      <c r="L6" s="13" t="n">
        <f aca="false">COUNTIFS(Cleaned_Appointment!$D$2:$D$202,"Neurology",Cleaned_Appointment!$H$2:$H$202,18)</f>
        <v>5</v>
      </c>
      <c r="M6" s="13" t="n">
        <f aca="false">COUNTIFS(Cleaned_Appointment!$D$2:$D$202,"Neurology",Cleaned_Appointment!$H$2:$H$202,"N/A")</f>
        <v>1</v>
      </c>
      <c r="N6" s="14" t="n">
        <f aca="false">SUM(B6:M6)</f>
        <v>35</v>
      </c>
    </row>
    <row r="7" customFormat="false" ht="15" hidden="false" customHeight="true" outlineLevel="0" collapsed="false">
      <c r="A7" s="13" t="s">
        <v>71</v>
      </c>
      <c r="B7" s="13" t="n">
        <f aca="false">COUNTIFS(Cleaned_Appointment!$D$2:$D$202,"Oncology",Cleaned_Appointment!$H$2:$H$202,8)</f>
        <v>1</v>
      </c>
      <c r="C7" s="13" t="n">
        <f aca="false">COUNTIFS(Cleaned_Appointment!$D$2:$D$202,"Oncology",Cleaned_Appointment!$H$2:$H$202,9)</f>
        <v>3</v>
      </c>
      <c r="D7" s="13" t="n">
        <f aca="false">COUNTIFS(Cleaned_Appointment!$D$2:$D$202,"Oncology",Cleaned_Appointment!$H$2:$H$202,10)</f>
        <v>1</v>
      </c>
      <c r="E7" s="13" t="n">
        <f aca="false">COUNTIFS(Cleaned_Appointment!$D$2:$D$202,"Oncology",Cleaned_Appointment!$H$2:$H$202,11)</f>
        <v>3</v>
      </c>
      <c r="F7" s="13" t="n">
        <f aca="false">COUNTIFS(Cleaned_Appointment!$D$2:$D$202,"Oncology",Cleaned_Appointment!$H$2:$H$202,12)</f>
        <v>2</v>
      </c>
      <c r="G7" s="13" t="n">
        <f aca="false">COUNTIFS(Cleaned_Appointment!$D$2:$D$202,"Oncology",Cleaned_Appointment!$H$2:$H$202,13)</f>
        <v>2</v>
      </c>
      <c r="H7" s="13" t="n">
        <f aca="false">COUNTIFS(Cleaned_Appointment!$D$2:$D$202,"Oncology",Cleaned_Appointment!$H$2:$H$202,14)</f>
        <v>0</v>
      </c>
      <c r="I7" s="13" t="n">
        <f aca="false">COUNTIFS(Cleaned_Appointment!$D$2:$D$202,"Oncology",Cleaned_Appointment!$H$2:$H$202,15)</f>
        <v>3</v>
      </c>
      <c r="J7" s="13" t="n">
        <f aca="false">COUNTIFS(Cleaned_Appointment!$D$2:$D$202,"Oncology",Cleaned_Appointment!$H$2:$H$202,16)</f>
        <v>6</v>
      </c>
      <c r="K7" s="13" t="n">
        <f aca="false">COUNTIFS(Cleaned_Appointment!$D$2:$D$202,"Oncology",Cleaned_Appointment!$H$2:$H$202,17)</f>
        <v>3</v>
      </c>
      <c r="L7" s="13" t="n">
        <f aca="false">COUNTIFS(Cleaned_Appointment!$D$2:$D$202,"Oncology",Cleaned_Appointment!$H$2:$H$202,18)</f>
        <v>5</v>
      </c>
      <c r="M7" s="13" t="n">
        <f aca="false">COUNTIFS(Cleaned_Appointment!$D$2:$D$202,"Oncology",Cleaned_Appointment!$H$2:$H$202,"N/A")</f>
        <v>3</v>
      </c>
      <c r="N7" s="14" t="n">
        <f aca="false">SUM(B7:M7)</f>
        <v>32</v>
      </c>
    </row>
    <row r="8" customFormat="false" ht="15" hidden="false" customHeight="true" outlineLevel="0" collapsed="false">
      <c r="A8" s="13" t="s">
        <v>16</v>
      </c>
      <c r="B8" s="13" t="n">
        <f aca="false">COUNTIFS(Cleaned_Appointment!$D$2:$D$202,"Orthopedics",Cleaned_Appointment!$H$2:$H$202,8)</f>
        <v>2</v>
      </c>
      <c r="C8" s="13" t="n">
        <f aca="false">COUNTIFS(Cleaned_Appointment!$D$2:$D$202,"Orthopedics",Cleaned_Appointment!$H$2:$H$202,9)</f>
        <v>2</v>
      </c>
      <c r="D8" s="13" t="n">
        <f aca="false">COUNTIFS(Cleaned_Appointment!$D$2:$D$202,"Orthopedics",Cleaned_Appointment!$H$2:$H$202,10)</f>
        <v>1</v>
      </c>
      <c r="E8" s="13" t="n">
        <f aca="false">COUNTIFS(Cleaned_Appointment!$D$2:$D$202,"Orthopedics",Cleaned_Appointment!$H$2:$H$202,11)</f>
        <v>3</v>
      </c>
      <c r="F8" s="13" t="n">
        <f aca="false">COUNTIFS(Cleaned_Appointment!$D$2:$D$202,"Orthopedics",Cleaned_Appointment!$H$2:$H$202,12)</f>
        <v>1</v>
      </c>
      <c r="G8" s="13" t="n">
        <f aca="false">COUNTIFS(Cleaned_Appointment!$D$2:$D$202,"Orthopedics",Cleaned_Appointment!$H$2:$H$202,13)</f>
        <v>2</v>
      </c>
      <c r="H8" s="13" t="n">
        <f aca="false">COUNTIFS(Cleaned_Appointment!$D$2:$D$202,"Orthopedics",Cleaned_Appointment!$H$2:$H$202,14)</f>
        <v>2</v>
      </c>
      <c r="I8" s="13" t="n">
        <f aca="false">COUNTIFS(Cleaned_Appointment!$D$2:$D$202,"Orthopedics",Cleaned_Appointment!$H$2:$H$202,15)</f>
        <v>4</v>
      </c>
      <c r="J8" s="13" t="n">
        <f aca="false">COUNTIFS(Cleaned_Appointment!$D$2:$D$202,"Orthopedics",Cleaned_Appointment!$H$2:$H$202,16)</f>
        <v>2</v>
      </c>
      <c r="K8" s="13" t="n">
        <f aca="false">COUNTIFS(Cleaned_Appointment!$D$2:$D$202,"Orthopedics",Cleaned_Appointment!$H$2:$H$202,17)</f>
        <v>5</v>
      </c>
      <c r="L8" s="13" t="n">
        <f aca="false">COUNTIFS(Cleaned_Appointment!$D$2:$D$202,"Orthopedics",Cleaned_Appointment!$H$2:$H$202,18)</f>
        <v>6</v>
      </c>
      <c r="M8" s="13" t="n">
        <f aca="false">COUNTIFS(Cleaned_Appointment!$D$2:$D$202,"Orthopedics",Cleaned_Appointment!$H$2:$H$202,"N/A")</f>
        <v>0</v>
      </c>
      <c r="N8" s="14" t="n">
        <f aca="false">SUM(B8:M8)</f>
        <v>30</v>
      </c>
    </row>
    <row r="9" customFormat="false" ht="15" hidden="false" customHeight="true" outlineLevel="0" collapsed="false">
      <c r="A9" s="13" t="s">
        <v>29</v>
      </c>
      <c r="B9" s="13" t="n">
        <f aca="false">COUNTIFS(Cleaned_Appointment!$D$2:$D$202,"Pediatric",Cleaned_Appointment!$H$2:$H$202,8)</f>
        <v>4</v>
      </c>
      <c r="C9" s="13" t="n">
        <f aca="false">COUNTIFS(Cleaned_Appointment!$D$2:$D$202,"Pediatric",Cleaned_Appointment!$H$2:$H$202,9)</f>
        <v>5</v>
      </c>
      <c r="D9" s="13" t="n">
        <f aca="false">COUNTIFS(Cleaned_Appointment!$D$2:$D$202,"Pediatric",Cleaned_Appointment!$H$2:$H$202,10)</f>
        <v>5</v>
      </c>
      <c r="E9" s="13" t="n">
        <f aca="false">COUNTIFS(Cleaned_Appointment!$D$2:$D$202,"Pediatric",Cleaned_Appointment!$H$2:$H$202,11)</f>
        <v>2</v>
      </c>
      <c r="F9" s="13" t="n">
        <f aca="false">COUNTIFS(Cleaned_Appointment!$D$2:$D$202,"Pediatric",Cleaned_Appointment!$H$2:$H$202,12)</f>
        <v>1</v>
      </c>
      <c r="G9" s="13" t="n">
        <f aca="false">COUNTIFS(Cleaned_Appointment!$D$2:$D$202,"Pediatric",Cleaned_Appointment!$H$2:$H$202,13)</f>
        <v>3</v>
      </c>
      <c r="H9" s="13" t="n">
        <f aca="false">COUNTIFS(Cleaned_Appointment!$D$2:$D$202,"Pediatric",Cleaned_Appointment!$H$2:$H$202,14)</f>
        <v>3</v>
      </c>
      <c r="I9" s="13" t="n">
        <f aca="false">COUNTIFS(Cleaned_Appointment!$D$2:$D$202,"Pediatric",Cleaned_Appointment!$H$2:$H$202,15)</f>
        <v>0</v>
      </c>
      <c r="J9" s="13" t="n">
        <f aca="false">COUNTIFS(Cleaned_Appointment!$D$2:$D$202,"Pediatric",Cleaned_Appointment!$H$2:$H$202,16)</f>
        <v>3</v>
      </c>
      <c r="K9" s="13" t="n">
        <f aca="false">COUNTIFS(Cleaned_Appointment!$D$2:$D$202,"Pediatric",Cleaned_Appointment!$H$2:$H$202,17)</f>
        <v>4</v>
      </c>
      <c r="L9" s="13" t="n">
        <f aca="false">COUNTIFS(Cleaned_Appointment!$D$2:$D$202,"Pediatric",Cleaned_Appointment!$H$2:$H$202,18)</f>
        <v>5</v>
      </c>
      <c r="M9" s="13" t="n">
        <f aca="false">COUNTIFS(Cleaned_Appointment!$D$2:$D$202,"Pediatric",Cleaned_Appointment!$H$2:$H$202,"N/A")</f>
        <v>2</v>
      </c>
      <c r="N9" s="14" t="n">
        <f aca="false">SUM(B9:M9)</f>
        <v>37</v>
      </c>
    </row>
    <row r="10" customFormat="false" ht="15" hidden="false" customHeight="true" outlineLevel="0" collapsed="false">
      <c r="A10" s="13" t="s">
        <v>9</v>
      </c>
      <c r="B10" s="13" t="n">
        <f aca="false">COUNTIFS(Cleaned_Appointment!$D$2:$D$202,"N/A",Cleaned_Appointment!$H$2:$H$202,8)</f>
        <v>0</v>
      </c>
      <c r="C10" s="13" t="n">
        <f aca="false">COUNTIFS(Cleaned_Appointment!$D$2:$D$202,"N/A",Cleaned_Appointment!$H$2:$H$202,9)</f>
        <v>0</v>
      </c>
      <c r="D10" s="13" t="n">
        <f aca="false">COUNTIFS(Cleaned_Appointment!$D$2:$D$202,"N/A",Cleaned_Appointment!$H$2:$H$202,10)</f>
        <v>0</v>
      </c>
      <c r="E10" s="13" t="n">
        <f aca="false">COUNTIFS(Cleaned_Appointment!$D$2:$D$202,"N/A",Cleaned_Appointment!$H$2:$H$202,11)</f>
        <v>0</v>
      </c>
      <c r="F10" s="13" t="n">
        <f aca="false">COUNTIFS(Cleaned_Appointment!$D$2:$D$202,"N/A",Cleaned_Appointment!$H$2:$H$202,12)</f>
        <v>0</v>
      </c>
      <c r="G10" s="13" t="n">
        <f aca="false">COUNTIFS(Cleaned_Appointment!$D$2:$D$202,"N/A",Cleaned_Appointment!$H$2:$H$202,13)</f>
        <v>0</v>
      </c>
      <c r="H10" s="13" t="n">
        <f aca="false">COUNTIFS(Cleaned_Appointment!$D$2:$D$202,"N/A",Cleaned_Appointment!$H$2:$H$202,14)</f>
        <v>0</v>
      </c>
      <c r="I10" s="13" t="n">
        <f aca="false">COUNTIFS(Cleaned_Appointment!$D$2:$D$202,"N/A",Cleaned_Appointment!$H$2:$H$202,15)</f>
        <v>0</v>
      </c>
      <c r="J10" s="13" t="n">
        <f aca="false">COUNTIFS(Cleaned_Appointment!$D$2:$D$202,"N/A",Cleaned_Appointment!$H$2:$H$202,16)</f>
        <v>0</v>
      </c>
      <c r="K10" s="13" t="n">
        <f aca="false">COUNTIFS(Cleaned_Appointment!$D$2:$D$202,"N/A",Cleaned_Appointment!$H$2:$H$202,17)</f>
        <v>0</v>
      </c>
      <c r="L10" s="13" t="n">
        <f aca="false">COUNTIFS(Cleaned_Appointment!$D$2:$D$202,"N/A",Cleaned_Appointment!$H$2:$H$202,18)</f>
        <v>0</v>
      </c>
      <c r="M10" s="13" t="n">
        <f aca="false">COUNTIFS(Cleaned_Appointment!$D$2:$D$202,"N/A",Cleaned_Appointment!$H$2:$H$202,"N/A")</f>
        <v>2</v>
      </c>
      <c r="N10" s="14" t="n">
        <f aca="false">SUM(B10:M10)</f>
        <v>2</v>
      </c>
    </row>
    <row r="11" customFormat="false" ht="15" hidden="false" customHeight="true" outlineLevel="0" collapsed="false">
      <c r="A11" s="15" t="s">
        <v>882</v>
      </c>
      <c r="B11" s="14" t="n">
        <f aca="false">SUM(B4:B10)</f>
        <v>18</v>
      </c>
      <c r="C11" s="14" t="n">
        <f aca="false">SUM(C4:C10)</f>
        <v>15</v>
      </c>
      <c r="D11" s="14" t="n">
        <f aca="false">SUM(D4:D10)</f>
        <v>14</v>
      </c>
      <c r="E11" s="14" t="n">
        <f aca="false">SUM(E4:E10)</f>
        <v>17</v>
      </c>
      <c r="F11" s="14" t="n">
        <f aca="false">SUM(F4:F10)</f>
        <v>18</v>
      </c>
      <c r="G11" s="14" t="n">
        <f aca="false">SUM(G4:G10)</f>
        <v>12</v>
      </c>
      <c r="H11" s="14" t="n">
        <f aca="false">SUM(H4:H10)</f>
        <v>13</v>
      </c>
      <c r="I11" s="14" t="n">
        <f aca="false">SUM(I4:I10)</f>
        <v>19</v>
      </c>
      <c r="J11" s="14" t="n">
        <f aca="false">SUM(J4:J10)</f>
        <v>18</v>
      </c>
      <c r="K11" s="14" t="n">
        <f aca="false">SUM(K4:K10)</f>
        <v>20</v>
      </c>
      <c r="L11" s="14" t="n">
        <f aca="false">SUM(L4:L10)</f>
        <v>27</v>
      </c>
      <c r="M11" s="14" t="n">
        <f aca="false">SUM(M4:M10)</f>
        <v>10</v>
      </c>
      <c r="N11" s="14" t="n">
        <f aca="false">SUM(N4:N10)</f>
        <v>201</v>
      </c>
    </row>
  </sheetData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8" width="18"/>
    <col collapsed="false" customWidth="true" hidden="false" outlineLevel="0" max="5" min="2" style="8" width="10"/>
  </cols>
  <sheetData>
    <row r="1" customFormat="false" ht="15.75" hidden="false" customHeight="true" outlineLevel="0" collapsed="false">
      <c r="A1" s="12" t="s">
        <v>883</v>
      </c>
      <c r="B1" s="12"/>
      <c r="C1" s="12"/>
      <c r="D1" s="12"/>
      <c r="E1" s="12"/>
    </row>
    <row r="3" customFormat="false" ht="15" hidden="false" customHeight="true" outlineLevel="0" collapsed="false">
      <c r="A3" s="9" t="s">
        <v>3</v>
      </c>
      <c r="B3" s="9" t="s">
        <v>884</v>
      </c>
      <c r="C3" s="9" t="s">
        <v>885</v>
      </c>
      <c r="D3" s="9" t="s">
        <v>9</v>
      </c>
      <c r="E3" s="9" t="s">
        <v>882</v>
      </c>
    </row>
    <row r="4" customFormat="false" ht="15" hidden="false" customHeight="true" outlineLevel="0" collapsed="false">
      <c r="A4" s="13" t="s">
        <v>12</v>
      </c>
      <c r="B4" s="13" t="n">
        <f aca="false">COUNTIFS(Combined_Dataset!$D$2:$D$200,"Cardiology",Combined_Dataset!$H$2:$H$200,"High")</f>
        <v>31</v>
      </c>
      <c r="C4" s="13" t="n">
        <f aca="false">COUNTIFS(Combined_Dataset!$D$2:$D$200,"Cardiology",Combined_Dataset!$H$2:$H$200,"Low")</f>
        <v>2</v>
      </c>
      <c r="D4" s="13" t="n">
        <f aca="false">COUNTIFS(Combined_Dataset!$D$2:$D$200,"Cardiology",Combined_Dataset!$H$2:$H$200,"N/A")</f>
        <v>0</v>
      </c>
      <c r="E4" s="14" t="n">
        <f aca="false">SUM(B4:D4)</f>
        <v>33</v>
      </c>
    </row>
    <row r="5" customFormat="false" ht="15" hidden="false" customHeight="true" outlineLevel="0" collapsed="false">
      <c r="A5" s="13" t="s">
        <v>77</v>
      </c>
      <c r="B5" s="13" t="n">
        <f aca="false">COUNTIFS(Combined_Dataset!$D$2:$D$200,"General Medicine",Combined_Dataset!$H$2:$H$200,"High")</f>
        <v>21</v>
      </c>
      <c r="C5" s="13" t="n">
        <f aca="false">COUNTIFS(Combined_Dataset!$D$2:$D$200,"General Medicine",Combined_Dataset!$H$2:$H$200,"Low")</f>
        <v>5</v>
      </c>
      <c r="D5" s="13" t="n">
        <f aca="false">COUNTIFS(Combined_Dataset!$D$2:$D$200,"General Medicine",Combined_Dataset!$H$2:$H$200,"N/A")</f>
        <v>0</v>
      </c>
      <c r="E5" s="14" t="n">
        <f aca="false">SUM(B5:D5)</f>
        <v>26</v>
      </c>
    </row>
    <row r="6" customFormat="false" ht="15" hidden="false" customHeight="true" outlineLevel="0" collapsed="false">
      <c r="A6" s="13" t="s">
        <v>24</v>
      </c>
      <c r="B6" s="13" t="n">
        <f aca="false">COUNTIFS(Combined_Dataset!$D$2:$D$200,"Neurology",Combined_Dataset!$H$2:$H$200,"High")</f>
        <v>33</v>
      </c>
      <c r="C6" s="13" t="n">
        <f aca="false">COUNTIFS(Combined_Dataset!$D$2:$D$200,"Neurology",Combined_Dataset!$H$2:$H$200,"Low")</f>
        <v>1</v>
      </c>
      <c r="D6" s="13" t="n">
        <f aca="false">COUNTIFS(Combined_Dataset!$D$2:$D$200,"Neurology",Combined_Dataset!$H$2:$H$200,"N/A")</f>
        <v>0</v>
      </c>
      <c r="E6" s="14" t="n">
        <f aca="false">SUM(B6:D6)</f>
        <v>34</v>
      </c>
    </row>
    <row r="7" customFormat="false" ht="15" hidden="false" customHeight="true" outlineLevel="0" collapsed="false">
      <c r="A7" s="13" t="s">
        <v>71</v>
      </c>
      <c r="B7" s="13" t="n">
        <f aca="false">COUNTIFS(Combined_Dataset!$D$2:$D$200,"Oncology",Combined_Dataset!$H$2:$H$200,"High")</f>
        <v>26</v>
      </c>
      <c r="C7" s="13" t="n">
        <f aca="false">COUNTIFS(Combined_Dataset!$D$2:$D$200,"Oncology",Combined_Dataset!$H$2:$H$200,"Low")</f>
        <v>6</v>
      </c>
      <c r="D7" s="13" t="n">
        <f aca="false">COUNTIFS(Combined_Dataset!$D$2:$D$200,"Oncology",Combined_Dataset!$H$2:$H$200,"N/A")</f>
        <v>0</v>
      </c>
      <c r="E7" s="14" t="n">
        <f aca="false">SUM(B7:D7)</f>
        <v>32</v>
      </c>
    </row>
    <row r="8" customFormat="false" ht="15" hidden="false" customHeight="true" outlineLevel="0" collapsed="false">
      <c r="A8" s="13" t="s">
        <v>16</v>
      </c>
      <c r="B8" s="13" t="n">
        <f aca="false">COUNTIFS(Combined_Dataset!$D$2:$D$200,"Orthopedics",Combined_Dataset!$H$2:$H$200,"High")</f>
        <v>21</v>
      </c>
      <c r="C8" s="13" t="n">
        <f aca="false">COUNTIFS(Combined_Dataset!$D$2:$D$200,"Orthopedics",Combined_Dataset!$H$2:$H$200,"Low")</f>
        <v>8</v>
      </c>
      <c r="D8" s="13" t="n">
        <f aca="false">COUNTIFS(Combined_Dataset!$D$2:$D$200,"Orthopedics",Combined_Dataset!$H$2:$H$200,"N/A")</f>
        <v>0</v>
      </c>
      <c r="E8" s="14" t="n">
        <f aca="false">SUM(B8:D8)</f>
        <v>29</v>
      </c>
    </row>
    <row r="9" customFormat="false" ht="15" hidden="false" customHeight="true" outlineLevel="0" collapsed="false">
      <c r="A9" s="13" t="s">
        <v>29</v>
      </c>
      <c r="B9" s="13" t="n">
        <f aca="false">COUNTIFS(Combined_Dataset!$D$2:$D$200,"Pediatric",Combined_Dataset!$H$2:$H$200,"High")</f>
        <v>32</v>
      </c>
      <c r="C9" s="13" t="n">
        <f aca="false">COUNTIFS(Combined_Dataset!$D$2:$D$200,"Pediatric",Combined_Dataset!$H$2:$H$200,"Low")</f>
        <v>5</v>
      </c>
      <c r="D9" s="13" t="n">
        <f aca="false">COUNTIFS(Combined_Dataset!$D$2:$D$200,"Pediatric",Combined_Dataset!$H$2:$H$200,"N/A")</f>
        <v>0</v>
      </c>
      <c r="E9" s="14" t="n">
        <f aca="false">SUM(B9:D9)</f>
        <v>37</v>
      </c>
    </row>
    <row r="10" customFormat="false" ht="15" hidden="false" customHeight="true" outlineLevel="0" collapsed="false">
      <c r="A10" s="13" t="s">
        <v>9</v>
      </c>
      <c r="B10" s="13" t="n">
        <f aca="false">COUNTIFS(Combined_Dataset!$D$2:$D$200,"N/A",Combined_Dataset!$H$2:$H$200,"High")</f>
        <v>8</v>
      </c>
      <c r="C10" s="13" t="n">
        <f aca="false">COUNTIFS(Combined_Dataset!$D$2:$D$200,"N/A",Combined_Dataset!$H$2:$H$200,"Low")</f>
        <v>0</v>
      </c>
      <c r="D10" s="13" t="n">
        <f aca="false">COUNTIFS(Combined_Dataset!$D$2:$D$200,"N/A",Combined_Dataset!$H$2:$H$200,"N/A")</f>
        <v>0</v>
      </c>
      <c r="E10" s="14" t="n">
        <f aca="false">SUM(B10:D10)</f>
        <v>8</v>
      </c>
    </row>
    <row r="11" customFormat="false" ht="15" hidden="false" customHeight="true" outlineLevel="0" collapsed="false">
      <c r="A11" s="14" t="s">
        <v>882</v>
      </c>
      <c r="B11" s="14" t="n">
        <f aca="false">SUM(B4:B10)</f>
        <v>172</v>
      </c>
      <c r="C11" s="14" t="n">
        <f aca="false">SUM(C4:C10)</f>
        <v>27</v>
      </c>
      <c r="D11" s="14" t="n">
        <f aca="false">SUM(D4:D10)</f>
        <v>0</v>
      </c>
      <c r="E11" s="14" t="n">
        <f aca="false">SUM(E4:E10)</f>
        <v>199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8" width="18"/>
    <col collapsed="false" customWidth="true" hidden="false" outlineLevel="0" max="3" min="3" style="8" width="16"/>
  </cols>
  <sheetData>
    <row r="1" customFormat="false" ht="15.75" hidden="false" customHeight="true" outlineLevel="0" collapsed="false">
      <c r="A1" s="12" t="s">
        <v>886</v>
      </c>
      <c r="B1" s="12"/>
      <c r="C1" s="12"/>
      <c r="F1" s="7" t="n">
        <f aca="false">AVERAGE(Cleaned_Resource!$D$2:$D$201)</f>
        <v>3.85</v>
      </c>
    </row>
    <row r="3" customFormat="false" ht="15" hidden="false" customHeight="true" outlineLevel="0" collapsed="false">
      <c r="A3" s="9" t="s">
        <v>3</v>
      </c>
      <c r="B3" s="9" t="s">
        <v>887</v>
      </c>
      <c r="C3" s="9" t="s">
        <v>888</v>
      </c>
      <c r="D3" s="9" t="s">
        <v>889</v>
      </c>
    </row>
    <row r="4" customFormat="false" ht="15" hidden="false" customHeight="true" outlineLevel="0" collapsed="false">
      <c r="A4" s="13" t="s">
        <v>12</v>
      </c>
      <c r="B4" s="16" t="n">
        <f aca="false">IFERROR(AVERAGEIFS(Cleaned_Resource!$D$2:$D$201,Cleaned_Resource!$B$2:$B$201,"Cardiology"),0)</f>
        <v>4.18181818181818</v>
      </c>
      <c r="C4" s="13" t="n">
        <f aca="false">COUNTIF(Cleaned_Resource!$B$2:$B$201,"Cardiology")</f>
        <v>22</v>
      </c>
      <c r="D4" s="13" t="str">
        <f aca="false">IF(B4="","N/A",IF(B4&gt;$F$1*1.1,"Overburdened",IF(B4&lt;$F$1*0.9,"Underutilized","Normal")))</f>
        <v>Normal</v>
      </c>
    </row>
    <row r="5" customFormat="false" ht="15" hidden="false" customHeight="true" outlineLevel="0" collapsed="false">
      <c r="A5" s="13" t="s">
        <v>77</v>
      </c>
      <c r="B5" s="16" t="n">
        <f aca="false">IFERROR(AVERAGEIFS(Cleaned_Resource!$D$2:$D$201,Cleaned_Resource!$B$2:$B$201,"General Medicine"),0)</f>
        <v>3.41025641025641</v>
      </c>
      <c r="C5" s="13" t="n">
        <f aca="false">COUNTIF(Cleaned_Resource!$B$2:$B$201,"General Medicine")</f>
        <v>39</v>
      </c>
      <c r="D5" s="13" t="str">
        <f aca="false">IF(B5="","N/A",IF(B5&gt;$F$1*1.1,"Overburdened",IF(B5&lt;$F$1*0.9,"Underutilized","Normal")))</f>
        <v>Underutilized</v>
      </c>
    </row>
    <row r="6" customFormat="false" ht="15" hidden="false" customHeight="true" outlineLevel="0" collapsed="false">
      <c r="A6" s="13" t="s">
        <v>24</v>
      </c>
      <c r="B6" s="16" t="n">
        <f aca="false">IFERROR(AVERAGEIFS(Cleaned_Resource!$D$2:$D$201,Cleaned_Resource!$B$2:$B$201,"Neurology"),0)</f>
        <v>3.79411764705882</v>
      </c>
      <c r="C6" s="13" t="n">
        <f aca="false">COUNTIF(Cleaned_Resource!$B$2:$B$201,"Neurology")</f>
        <v>34</v>
      </c>
      <c r="D6" s="13" t="str">
        <f aca="false">IF(B6="","N/A",IF(B6&gt;$F$1*1.1,"Overburdened",IF(B6&lt;$F$1*0.9,"Underutilized","Normal")))</f>
        <v>Normal</v>
      </c>
    </row>
    <row r="7" customFormat="false" ht="15" hidden="false" customHeight="true" outlineLevel="0" collapsed="false">
      <c r="A7" s="13" t="s">
        <v>71</v>
      </c>
      <c r="B7" s="16" t="n">
        <f aca="false">IFERROR(AVERAGEIFS(Cleaned_Resource!$D$2:$D$201,Cleaned_Resource!$B$2:$B$201,"Oncology"),0)</f>
        <v>3.55555555555556</v>
      </c>
      <c r="C7" s="13" t="n">
        <f aca="false">COUNTIF(Cleaned_Resource!$B$2:$B$201,"Oncology")</f>
        <v>36</v>
      </c>
      <c r="D7" s="13" t="str">
        <f aca="false">IF(B7="","N/A",IF(B7&gt;$F$1*1.1,"Overburdened",IF(B7&lt;$F$1*0.9,"Underutilized","Normal")))</f>
        <v>Normal</v>
      </c>
    </row>
    <row r="8" customFormat="false" ht="15" hidden="false" customHeight="true" outlineLevel="0" collapsed="false">
      <c r="A8" s="13" t="s">
        <v>16</v>
      </c>
      <c r="B8" s="16" t="n">
        <f aca="false">IFERROR(AVERAGEIFS(Cleaned_Resource!$D$2:$D$201,Cleaned_Resource!$B$2:$B$201,"Orthopedics"),0)</f>
        <v>3.37037037037037</v>
      </c>
      <c r="C8" s="13" t="n">
        <f aca="false">COUNTIF(Cleaned_Resource!$B$2:$B$201,"Orthopedics")</f>
        <v>27</v>
      </c>
      <c r="D8" s="13" t="str">
        <f aca="false">IF(B8="","N/A",IF(B8&gt;$F$1*1.1,"Overburdened",IF(B8&lt;$F$1*0.9,"Underutilized","Normal")))</f>
        <v>Underutilized</v>
      </c>
    </row>
    <row r="9" customFormat="false" ht="15" hidden="false" customHeight="true" outlineLevel="0" collapsed="false">
      <c r="A9" s="13" t="s">
        <v>29</v>
      </c>
      <c r="B9" s="16" t="n">
        <f aca="false">IFERROR(AVERAGEIFS(Cleaned_Resource!$D$2:$D$201,Cleaned_Resource!$B$2:$B$201,"Pediatric"),0)</f>
        <v>4.85</v>
      </c>
      <c r="C9" s="13" t="n">
        <f aca="false">COUNTIF(Cleaned_Resource!$B$2:$B$201,"Pediatric")</f>
        <v>40</v>
      </c>
      <c r="D9" s="13" t="str">
        <f aca="false">IF(B9="","N/A",IF(B9&gt;$F$1*1.1,"Overburdened",IF(B9&lt;$F$1*0.9,"Underutilized","Normal")))</f>
        <v>Overburdened</v>
      </c>
    </row>
    <row r="10" customFormat="false" ht="15" hidden="false" customHeight="true" outlineLevel="0" collapsed="false">
      <c r="A10" s="13" t="s">
        <v>9</v>
      </c>
      <c r="B10" s="16" t="n">
        <f aca="false">IFERROR(AVERAGEIFS(Cleaned_Resource!$D$2:$D$201,Cleaned_Resource!$B$2:$B$201,"N/A"),0)</f>
        <v>1.5</v>
      </c>
      <c r="C10" s="13" t="n">
        <f aca="false">COUNTIF(Cleaned_Resource!$B$2:$B$201,"N/A")</f>
        <v>2</v>
      </c>
      <c r="D10" s="13" t="str">
        <f aca="false">IF(B10="","N/A",IF(B10&gt;$F$1*1.1,"Overburdened",IF(B10&lt;$F$1*0.9,"Underutilized","Normal")))</f>
        <v>Underutilized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8" width="14"/>
    <col collapsed="false" customWidth="true" hidden="false" outlineLevel="0" max="2" min="2" style="8" width="18"/>
    <col collapsed="false" customWidth="true" hidden="false" outlineLevel="0" max="3" min="3" style="8" width="2"/>
    <col collapsed="false" customWidth="true" hidden="false" outlineLevel="0" max="4" min="4" style="8" width="10"/>
    <col collapsed="false" customWidth="true" hidden="false" outlineLevel="0" max="5" min="5" style="8" width="14"/>
    <col collapsed="false" customWidth="true" hidden="false" outlineLevel="0" max="7" min="6" style="8" width="10"/>
  </cols>
  <sheetData>
    <row r="1" customFormat="false" ht="18" hidden="false" customHeight="true" outlineLevel="0" collapsed="false">
      <c r="A1" s="17" t="s">
        <v>890</v>
      </c>
    </row>
    <row r="3" customFormat="false" ht="15" hidden="false" customHeight="true" outlineLevel="0" collapsed="false">
      <c r="A3" s="15" t="s">
        <v>891</v>
      </c>
      <c r="D3" s="15" t="s">
        <v>892</v>
      </c>
    </row>
    <row r="5" customFormat="false" ht="15" hidden="false" customHeight="true" outlineLevel="0" collapsed="false">
      <c r="A5" s="9" t="s">
        <v>893</v>
      </c>
      <c r="B5" s="9" t="s">
        <v>894</v>
      </c>
      <c r="D5" s="9" t="s">
        <v>7</v>
      </c>
      <c r="E5" s="9" t="s">
        <v>894</v>
      </c>
    </row>
    <row r="6" customFormat="false" ht="15" hidden="false" customHeight="true" outlineLevel="0" collapsed="false">
      <c r="A6" s="13" t="s">
        <v>895</v>
      </c>
      <c r="B6" s="13" t="n">
        <f aca="false">COUNTIF(Cleaned_Appointment!$I$2:$I$202,"Monday")</f>
        <v>34</v>
      </c>
      <c r="D6" s="13" t="s">
        <v>871</v>
      </c>
      <c r="E6" s="13" t="n">
        <f aca="false">COUNTIF(Cleaned_Appointment!$H$2:$H$202,8)</f>
        <v>18</v>
      </c>
    </row>
    <row r="7" customFormat="false" ht="15" hidden="false" customHeight="true" outlineLevel="0" collapsed="false">
      <c r="A7" s="13" t="s">
        <v>896</v>
      </c>
      <c r="B7" s="13" t="n">
        <f aca="false">COUNTIF(Cleaned_Appointment!$I$2:$I$202,"Tuesday")</f>
        <v>27</v>
      </c>
      <c r="D7" s="13" t="s">
        <v>872</v>
      </c>
      <c r="E7" s="13" t="n">
        <f aca="false">COUNTIF(Cleaned_Appointment!$H$2:$H$202,9)</f>
        <v>15</v>
      </c>
    </row>
    <row r="8" customFormat="false" ht="15" hidden="false" customHeight="true" outlineLevel="0" collapsed="false">
      <c r="A8" s="13" t="s">
        <v>897</v>
      </c>
      <c r="B8" s="13" t="n">
        <f aca="false">COUNTIF(Cleaned_Appointment!$I$2:$I$202,"Wednesday")</f>
        <v>27</v>
      </c>
      <c r="D8" s="13" t="s">
        <v>873</v>
      </c>
      <c r="E8" s="13" t="n">
        <f aca="false">COUNTIF(Cleaned_Appointment!$H$2:$H$202,10)</f>
        <v>14</v>
      </c>
    </row>
    <row r="9" customFormat="false" ht="15" hidden="false" customHeight="true" outlineLevel="0" collapsed="false">
      <c r="A9" s="13" t="s">
        <v>898</v>
      </c>
      <c r="B9" s="13" t="n">
        <f aca="false">COUNTIF(Cleaned_Appointment!$I$2:$I$202,"Thursday")</f>
        <v>23</v>
      </c>
      <c r="D9" s="13" t="s">
        <v>874</v>
      </c>
      <c r="E9" s="13" t="n">
        <f aca="false">COUNTIF(Cleaned_Appointment!$H$2:$H$202,11)</f>
        <v>17</v>
      </c>
    </row>
    <row r="10" customFormat="false" ht="15" hidden="false" customHeight="true" outlineLevel="0" collapsed="false">
      <c r="A10" s="13" t="s">
        <v>899</v>
      </c>
      <c r="B10" s="13" t="n">
        <f aca="false">COUNTIF(Cleaned_Appointment!$I$2:$I$202,"Friday")</f>
        <v>26</v>
      </c>
      <c r="D10" s="13" t="s">
        <v>875</v>
      </c>
      <c r="E10" s="13" t="n">
        <f aca="false">COUNTIF(Cleaned_Appointment!$H$2:$H$202,12)</f>
        <v>18</v>
      </c>
    </row>
    <row r="11" customFormat="false" ht="15" hidden="false" customHeight="true" outlineLevel="0" collapsed="false">
      <c r="A11" s="13" t="s">
        <v>900</v>
      </c>
      <c r="B11" s="13" t="n">
        <f aca="false">COUNTIF(Cleaned_Appointment!$I$2:$I$202,"Saturday")</f>
        <v>31</v>
      </c>
      <c r="D11" s="13" t="s">
        <v>876</v>
      </c>
      <c r="E11" s="13" t="n">
        <f aca="false">COUNTIF(Cleaned_Appointment!$H$2:$H$202,13)</f>
        <v>12</v>
      </c>
    </row>
    <row r="12" customFormat="false" ht="15" hidden="false" customHeight="true" outlineLevel="0" collapsed="false">
      <c r="A12" s="13" t="s">
        <v>901</v>
      </c>
      <c r="B12" s="13" t="n">
        <f aca="false">COUNTIF(Cleaned_Appointment!$I$2:$I$202,"Sunday")</f>
        <v>30</v>
      </c>
      <c r="D12" s="13" t="s">
        <v>877</v>
      </c>
      <c r="E12" s="13" t="n">
        <f aca="false">COUNTIF(Cleaned_Appointment!$H$2:$H$202,14)</f>
        <v>13</v>
      </c>
    </row>
    <row r="13" customFormat="false" ht="15" hidden="false" customHeight="true" outlineLevel="0" collapsed="false">
      <c r="A13" s="13" t="s">
        <v>9</v>
      </c>
      <c r="B13" s="13" t="n">
        <f aca="false">COUNTIF(Cleaned_Appointment!$I$2:$I$202,"N/A")</f>
        <v>3</v>
      </c>
      <c r="D13" s="13" t="s">
        <v>878</v>
      </c>
      <c r="E13" s="13" t="n">
        <f aca="false">COUNTIF(Cleaned_Appointment!$H$2:$H$202,15)</f>
        <v>19</v>
      </c>
    </row>
    <row r="14" customFormat="false" ht="15" hidden="false" customHeight="true" outlineLevel="0" collapsed="false">
      <c r="D14" s="13" t="s">
        <v>879</v>
      </c>
      <c r="E14" s="13" t="n">
        <f aca="false">COUNTIF(Cleaned_Appointment!$H$2:$H$202,16)</f>
        <v>18</v>
      </c>
    </row>
    <row r="15" customFormat="false" ht="15" hidden="false" customHeight="true" outlineLevel="0" collapsed="false">
      <c r="A15" s="15" t="s">
        <v>902</v>
      </c>
      <c r="B15" s="15" t="str">
        <f aca="false">INDEX(A6:A13,MATCH(MAX(B6:B13),B6:B13,0))</f>
        <v>Monday</v>
      </c>
      <c r="D15" s="13" t="s">
        <v>880</v>
      </c>
      <c r="E15" s="13" t="n">
        <f aca="false">COUNTIF(Cleaned_Appointment!$H$2:$H$202,17)</f>
        <v>20</v>
      </c>
    </row>
    <row r="16" customFormat="false" ht="15" hidden="false" customHeight="true" outlineLevel="0" collapsed="false">
      <c r="D16" s="13" t="s">
        <v>881</v>
      </c>
      <c r="E16" s="13" t="n">
        <f aca="false">COUNTIF(Cleaned_Appointment!$H$2:$H$202,18)</f>
        <v>27</v>
      </c>
    </row>
    <row r="17" customFormat="false" ht="15" hidden="false" customHeight="true" outlineLevel="0" collapsed="false">
      <c r="D17" s="13" t="s">
        <v>9</v>
      </c>
      <c r="E17" s="13" t="n">
        <f aca="false">COUNTIF(Cleaned_Appointment!$H$2:$H$202,"N/A")</f>
        <v>10</v>
      </c>
    </row>
    <row r="19" customFormat="false" ht="15" hidden="false" customHeight="true" outlineLevel="0" collapsed="false">
      <c r="D19" s="15" t="s">
        <v>903</v>
      </c>
      <c r="E19" s="15" t="str">
        <f aca="false">INDEX(D6:D17,MATCH(MAX(E6:E17),E6:E17,0))</f>
        <v>18:00</v>
      </c>
    </row>
    <row r="20" customFormat="false" ht="15" hidden="false" customHeight="true" outlineLevel="0" collapsed="false">
      <c r="A20" s="15" t="s">
        <v>904</v>
      </c>
      <c r="D20" s="15" t="s">
        <v>905</v>
      </c>
    </row>
    <row r="22" customFormat="false" ht="15" hidden="false" customHeight="true" outlineLevel="0" collapsed="false">
      <c r="A22" s="9" t="s">
        <v>3</v>
      </c>
      <c r="B22" s="9" t="s">
        <v>906</v>
      </c>
      <c r="D22" s="9" t="s">
        <v>7</v>
      </c>
      <c r="E22" s="9" t="s">
        <v>907</v>
      </c>
      <c r="F22" s="9" t="s">
        <v>908</v>
      </c>
      <c r="G22" s="9" t="s">
        <v>909</v>
      </c>
    </row>
    <row r="23" customFormat="false" ht="15" hidden="false" customHeight="true" outlineLevel="0" collapsed="false">
      <c r="A23" s="13" t="s">
        <v>12</v>
      </c>
      <c r="B23" s="16" t="n">
        <f aca="false">IFERROR(AVERAGEIFS(Combined_Dataset!$E$2:$E$200,Combined_Dataset!$D$2:$D$200,"Cardiology"),"N/A")</f>
        <v>7.03030303030303</v>
      </c>
      <c r="D23" s="13" t="s">
        <v>871</v>
      </c>
      <c r="E23" s="13" t="n">
        <f aca="false">COUNTIF(Combined_Dataset!$I$2:$I$200,8)</f>
        <v>18</v>
      </c>
      <c r="F23" s="13" t="n">
        <f aca="false">COUNTIFS(Combined_Dataset!$I$2:$I$200,8,Combined_Dataset!$H$2:$H$200,"Low")</f>
        <v>3</v>
      </c>
      <c r="G23" s="18" t="n">
        <f aca="false">IFERROR(F23/E23,0)</f>
        <v>0.166666666666667</v>
      </c>
    </row>
    <row r="24" customFormat="false" ht="15" hidden="false" customHeight="true" outlineLevel="0" collapsed="false">
      <c r="A24" s="13" t="s">
        <v>77</v>
      </c>
      <c r="B24" s="16" t="n">
        <f aca="false">IFERROR(AVERAGEIFS(Combined_Dataset!$E$2:$E$200,Combined_Dataset!$D$2:$D$200,"General Medicine"),"N/A")</f>
        <v>5.38461538461539</v>
      </c>
      <c r="D24" s="13" t="s">
        <v>872</v>
      </c>
      <c r="E24" s="13" t="n">
        <f aca="false">COUNTIF(Combined_Dataset!$I$2:$I$200,9)</f>
        <v>19</v>
      </c>
      <c r="F24" s="13" t="n">
        <f aca="false">COUNTIFS(Combined_Dataset!$I$2:$I$200,9,Combined_Dataset!$H$2:$H$200,"Low")</f>
        <v>1</v>
      </c>
      <c r="G24" s="18" t="n">
        <f aca="false">IFERROR(F24/E24,0)</f>
        <v>0.0526315789473684</v>
      </c>
    </row>
    <row r="25" customFormat="false" ht="15" hidden="false" customHeight="true" outlineLevel="0" collapsed="false">
      <c r="A25" s="13" t="s">
        <v>24</v>
      </c>
      <c r="B25" s="16" t="n">
        <f aca="false">IFERROR(AVERAGEIFS(Combined_Dataset!$E$2:$E$200,Combined_Dataset!$D$2:$D$200,"Neurology"),"N/A")</f>
        <v>6.26470588235294</v>
      </c>
      <c r="D25" s="13" t="s">
        <v>873</v>
      </c>
      <c r="E25" s="13" t="n">
        <f aca="false">COUNTIF(Combined_Dataset!$I$2:$I$200,10)</f>
        <v>14</v>
      </c>
      <c r="F25" s="13" t="n">
        <f aca="false">COUNTIFS(Combined_Dataset!$I$2:$I$200,10,Combined_Dataset!$H$2:$H$200,"Low")</f>
        <v>1</v>
      </c>
      <c r="G25" s="18" t="n">
        <f aca="false">IFERROR(F25/E25,0)</f>
        <v>0.0714285714285714</v>
      </c>
    </row>
    <row r="26" customFormat="false" ht="15" hidden="false" customHeight="true" outlineLevel="0" collapsed="false">
      <c r="A26" s="13" t="s">
        <v>71</v>
      </c>
      <c r="B26" s="16" t="n">
        <f aca="false">IFERROR(AVERAGEIFS(Combined_Dataset!$E$2:$E$200,Combined_Dataset!$D$2:$D$200,"Oncology"),"N/A")</f>
        <v>6.5</v>
      </c>
      <c r="D26" s="13" t="s">
        <v>874</v>
      </c>
      <c r="E26" s="13" t="n">
        <f aca="false">COUNTIF(Combined_Dataset!$I$2:$I$200,11)</f>
        <v>16</v>
      </c>
      <c r="F26" s="13" t="n">
        <f aca="false">COUNTIFS(Combined_Dataset!$I$2:$I$200,11,Combined_Dataset!$H$2:$H$200,"Low")</f>
        <v>3</v>
      </c>
      <c r="G26" s="18" t="n">
        <f aca="false">IFERROR(F26/E26,0)</f>
        <v>0.1875</v>
      </c>
    </row>
    <row r="27" customFormat="false" ht="15" hidden="false" customHeight="true" outlineLevel="0" collapsed="false">
      <c r="A27" s="13" t="s">
        <v>16</v>
      </c>
      <c r="B27" s="16" t="n">
        <f aca="false">IFERROR(AVERAGEIFS(Combined_Dataset!$E$2:$E$200,Combined_Dataset!$D$2:$D$200,"Orthopedics"),"N/A")</f>
        <v>5.93103448275862</v>
      </c>
      <c r="D27" s="13" t="s">
        <v>875</v>
      </c>
      <c r="E27" s="13" t="n">
        <f aca="false">COUNTIF(Combined_Dataset!$I$2:$I$200,12)</f>
        <v>19</v>
      </c>
      <c r="F27" s="13" t="n">
        <f aca="false">COUNTIFS(Combined_Dataset!$I$2:$I$200,12,Combined_Dataset!$H$2:$H$200,"Low")</f>
        <v>1</v>
      </c>
      <c r="G27" s="18" t="n">
        <f aca="false">IFERROR(F27/E27,0)</f>
        <v>0.0526315789473684</v>
      </c>
    </row>
    <row r="28" customFormat="false" ht="15" hidden="false" customHeight="true" outlineLevel="0" collapsed="false">
      <c r="A28" s="13" t="s">
        <v>29</v>
      </c>
      <c r="B28" s="16" t="n">
        <f aca="false">IFERROR(AVERAGEIFS(Combined_Dataset!$E$2:$E$200,Combined_Dataset!$D$2:$D$200,"Pediatric"),"N/A")</f>
        <v>6.32432432432433</v>
      </c>
      <c r="D28" s="13" t="s">
        <v>876</v>
      </c>
      <c r="E28" s="13" t="n">
        <f aca="false">COUNTIF(Combined_Dataset!$I$2:$I$200,13)</f>
        <v>9</v>
      </c>
      <c r="F28" s="13" t="n">
        <f aca="false">COUNTIFS(Combined_Dataset!$I$2:$I$200,13,Combined_Dataset!$H$2:$H$200,"Low")</f>
        <v>1</v>
      </c>
      <c r="G28" s="18" t="n">
        <f aca="false">IFERROR(F28/E28,0)</f>
        <v>0.111111111111111</v>
      </c>
    </row>
    <row r="29" customFormat="false" ht="15" hidden="false" customHeight="true" outlineLevel="0" collapsed="false">
      <c r="A29" s="13" t="s">
        <v>9</v>
      </c>
      <c r="B29" s="16" t="n">
        <f aca="false">IFERROR(AVERAGEIFS(Combined_Dataset!$E$2:$E$200,Combined_Dataset!$D$2:$D$200,"N/A"),"N/A")</f>
        <v>6.11125</v>
      </c>
      <c r="D29" s="13" t="s">
        <v>877</v>
      </c>
      <c r="E29" s="13" t="n">
        <f aca="false">COUNTIF(Combined_Dataset!$I$2:$I$200,14)</f>
        <v>15</v>
      </c>
      <c r="F29" s="13" t="n">
        <f aca="false">COUNTIFS(Combined_Dataset!$I$2:$I$200,14,Combined_Dataset!$H$2:$H$200,"Low")</f>
        <v>2</v>
      </c>
      <c r="G29" s="18" t="n">
        <f aca="false">IFERROR(F29/E29,0)</f>
        <v>0.133333333333333</v>
      </c>
    </row>
    <row r="30" customFormat="false" ht="15" hidden="false" customHeight="true" outlineLevel="0" collapsed="false">
      <c r="D30" s="13" t="s">
        <v>878</v>
      </c>
      <c r="E30" s="13" t="n">
        <f aca="false">COUNTIF(Combined_Dataset!$I$2:$I$200,15)</f>
        <v>20</v>
      </c>
      <c r="F30" s="13" t="n">
        <f aca="false">COUNTIFS(Combined_Dataset!$I$2:$I$200,15,Combined_Dataset!$H$2:$H$200,"Low")</f>
        <v>2</v>
      </c>
      <c r="G30" s="18" t="n">
        <f aca="false">IFERROR(F30/E30,0)</f>
        <v>0.1</v>
      </c>
    </row>
    <row r="31" customFormat="false" ht="15" hidden="false" customHeight="true" outlineLevel="0" collapsed="false">
      <c r="A31" s="15" t="s">
        <v>910</v>
      </c>
      <c r="B31" s="15" t="str">
        <f aca="false">INDEX(A23:A29,MATCH(MAX(B23:B29),B23:B29,0))</f>
        <v>Cardiology</v>
      </c>
      <c r="D31" s="13" t="s">
        <v>879</v>
      </c>
      <c r="E31" s="13" t="n">
        <f aca="false">COUNTIF(Combined_Dataset!$I$2:$I$200,16)</f>
        <v>19</v>
      </c>
      <c r="F31" s="13" t="n">
        <f aca="false">COUNTIFS(Combined_Dataset!$I$2:$I$200,16,Combined_Dataset!$H$2:$H$200,"Low")</f>
        <v>4</v>
      </c>
      <c r="G31" s="18" t="n">
        <f aca="false">IFERROR(F31/E31,0)</f>
        <v>0.210526315789474</v>
      </c>
    </row>
    <row r="32" customFormat="false" ht="15" hidden="false" customHeight="true" outlineLevel="0" collapsed="false">
      <c r="A32" s="15" t="s">
        <v>911</v>
      </c>
      <c r="B32" s="15" t="str">
        <f aca="false">INDEX(A23:A29,MATCH(MIN(B23:B29),B23:B29,0))</f>
        <v>General Medicine</v>
      </c>
      <c r="D32" s="13" t="s">
        <v>880</v>
      </c>
      <c r="E32" s="13" t="n">
        <f aca="false">COUNTIF(Combined_Dataset!$I$2:$I$200,17)</f>
        <v>21</v>
      </c>
      <c r="F32" s="13" t="n">
        <f aca="false">COUNTIFS(Combined_Dataset!$I$2:$I$200,17,Combined_Dataset!$H$2:$H$200,"Low")</f>
        <v>2</v>
      </c>
      <c r="G32" s="18" t="n">
        <f aca="false">IFERROR(F32/E32,0)</f>
        <v>0.0952380952380952</v>
      </c>
    </row>
    <row r="33" customFormat="false" ht="15" hidden="false" customHeight="true" outlineLevel="0" collapsed="false">
      <c r="D33" s="13" t="s">
        <v>881</v>
      </c>
      <c r="E33" s="13" t="n">
        <f aca="false">COUNTIF(Combined_Dataset!$I$2:$I$200,18)</f>
        <v>28</v>
      </c>
      <c r="F33" s="13" t="n">
        <f aca="false">COUNTIFS(Combined_Dataset!$I$2:$I$200,18,Combined_Dataset!$H$2:$H$200,"Low")</f>
        <v>7</v>
      </c>
      <c r="G33" s="18" t="n">
        <f aca="false">IFERROR(F33/E33,0)</f>
        <v>0.25</v>
      </c>
    </row>
    <row r="34" customFormat="false" ht="15" hidden="false" customHeight="true" outlineLevel="0" collapsed="false">
      <c r="D34" s="13" t="s">
        <v>9</v>
      </c>
      <c r="E34" s="13" t="n">
        <f aca="false">COUNTIF(Combined_Dataset!$I$2:$I$200,"N/A")</f>
        <v>1</v>
      </c>
      <c r="F34" s="13" t="n">
        <f aca="false">COUNTIFS(Combined_Dataset!$I$2:$I$200,"N/A",Combined_Dataset!$H$2:$H$200,"Low")</f>
        <v>0</v>
      </c>
      <c r="G34" s="18" t="n">
        <f aca="false">IFERROR(F34/E34,0)</f>
        <v>0</v>
      </c>
    </row>
    <row r="36" customFormat="false" ht="15" hidden="false" customHeight="true" outlineLevel="0" collapsed="false">
      <c r="D36" s="15" t="s">
        <v>912</v>
      </c>
      <c r="E36" s="15" t="str">
        <f aca="false">INDEX(D23:D34,MATCH(MAX(G23:G34),G23:G34,0))</f>
        <v>18:00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2026-08-29T14:33:39Z</dcterms:created>
  <dc:creator>imran khan</dc:creator>
  <dc:description/>
  <dc:language>en-US</dc:language>
  <cp:lastModifiedBy/>
  <dcterms:modified xsi:type="dcterms:W3CDTF">2026-08-29T16:57:35Z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