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_Register" sheetId="1" state="visible" r:id="rId3"/>
    <sheet name="Risk_Assessment_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<sst xmlns="http://schemas.openxmlformats.org/spreadsheetml/2006/main" count="130" uniqueCount="77">
  <si>
    <t xml:space="preserve">HealthFirst Care Initiative — Risk Register</t>
  </si>
  <si>
    <t xml:space="preserve">Scale</t>
  </si>
  <si>
    <t xml:space="preserve">Patient Experience &amp; Operational Efficiency Overhaul | Prepared by: Pritam Kar</t>
  </si>
  <si>
    <t xml:space="preserve">Low</t>
  </si>
  <si>
    <t xml:space="preserve">Medium</t>
  </si>
  <si>
    <t xml:space="preserve">Risk ID</t>
  </si>
  <si>
    <t xml:space="preserve">Risk Description</t>
  </si>
  <si>
    <t xml:space="preserve">Risk Category</t>
  </si>
  <si>
    <t xml:space="preserve">Likelihood</t>
  </si>
  <si>
    <t xml:space="preserve">Impact</t>
  </si>
  <si>
    <t xml:space="preserve">Severity Score</t>
  </si>
  <si>
    <t xml:space="preserve">Severity Level</t>
  </si>
  <si>
    <t xml:space="preserve">Mitigation Strategy</t>
  </si>
  <si>
    <t xml:space="preserve">High</t>
  </si>
  <si>
    <t xml:space="preserve">OP-01</t>
  </si>
  <si>
    <t xml:space="preserve">Administrative schedulers resist adopting the automated conflict-prevention engine, continuing manual workarounds that reintroduce double-booking risk.</t>
  </si>
  <si>
    <t xml:space="preserve">Operational</t>
  </si>
  <si>
    <t xml:space="preserve">Phased rollout with a parallel-run period; structured change-management plan with weekly hands-on training sessions for Maria Carter/Jessica Gomes-level schedulers.</t>
  </si>
  <si>
    <t xml:space="preserve">OP-02</t>
  </si>
  <si>
    <t xml:space="preserve">Mandatory staff training on kiosks and the new scheduling platform is incomplete before go-live, causing usage errors at launch.</t>
  </si>
  <si>
    <t xml:space="preserve">Require training certification checkpoints prior to rollout; staff a dedicated super-user support desk for the first two weeks post-launch.</t>
  </si>
  <si>
    <t xml:space="preserve">OP-03</t>
  </si>
  <si>
    <t xml:space="preserve">Billing-issue resolution at discharge has no defined turnaround time, so the Admin/Billing bottleneck identified in the swimlane analysis persists after automation.</t>
  </si>
  <si>
    <t xml:space="preserve">Define a service-level target (e.g., 2-hour resolution) for billing exceptions with automatic escalation to a billing supervisor when breached.</t>
  </si>
  <si>
    <t xml:space="preserve">OP-04</t>
  </si>
  <si>
    <t xml:space="preserve">Peak-hour congestion (Monday/weekend, 4-6 PM window) continues even after booking automation, since the root cause is staffing capacity, not scheduling conflicts alone.</t>
  </si>
  <si>
    <t xml:space="preserve">Rebalance staffing schedules toward Monday, weekend, and 4-6 PM shifts using the appointment volume trends already identified; add temporary float staff during peak windows.</t>
  </si>
  <si>
    <t xml:space="preserve">OP-05</t>
  </si>
  <si>
    <t xml:space="preserve">Severe workload imbalance (Orthopedics doctors averaging 7.86 usage hrs/day) is not resolved by scheduling automation alone, risking clinician burnout and care-quality issues.</t>
  </si>
  <si>
    <t xml:space="preserve">Configure the live resource dashboard to trigger automatic workload-rebalancing alerts to leadership; establish a cross-department staff-pooling protocol for peak periods.</t>
  </si>
  <si>
    <t xml:space="preserve">TE-01</t>
  </si>
  <si>
    <t xml:space="preserve">Cloud-enabled EHR integration with legacy patient-data architecture introduces a data breach or HIPAA compliance gap.</t>
  </si>
  <si>
    <t xml:space="preserve">Technical</t>
  </si>
  <si>
    <t xml:space="preserve">Enforce role-based access control and end-to-end encryption (NFR-02); commission a third-party security audit and penetration test before go-live.</t>
  </si>
  <si>
    <t xml:space="preserve">TE-02</t>
  </si>
  <si>
    <t xml:space="preserve">The scheduling/EHR platform experiences downtime or slow response during the 17:00-18:30 peak booking window, breaching the 99.9% uptime target.</t>
  </si>
  <si>
    <t xml:space="preserve">Load-test the platform at 2x observed peak volume before launch; deploy redundant failover infrastructure with real-time uptime monitoring and alerting.</t>
  </si>
  <si>
    <t xml:space="preserve">TE-03</t>
  </si>
  <si>
    <t xml:space="preserve">Interoperability issues between the new platform and the legacy database cause data integrity errors (duplicate or missing patient/appointment records) during integration.</t>
  </si>
  <si>
    <t xml:space="preserve">Run a phased data migration with reconciliation checks against the legacy source; validate in a sandbox environment before production cutover.</t>
  </si>
  <si>
    <t xml:space="preserve">TE-04</t>
  </si>
  <si>
    <t xml:space="preserve">The real-time conflict-detection engine fails to catch edge cases (e.g., concurrent bookings, sync lag), so double-bookings are reduced but not fully eliminated (AC-02 at risk).</t>
  </si>
  <si>
    <t xml:space="preserve">Stress-test the conflict engine under concurrent-load scenarios; maintain a manual override queue with an audit log for administrative review.</t>
  </si>
  <si>
    <t xml:space="preserve">TE-05</t>
  </si>
  <si>
    <t xml:space="preserve">Self-service kiosks or QR check-in hardware malfunction, forcing a fallback to manual paperwork and reintroducing the front-desk wait-time bottleneck.</t>
  </si>
  <si>
    <t xml:space="preserve">Establish a preventive hardware maintenance schedule; keep a staffed manual backup lane available during outages.</t>
  </si>
  <si>
    <t xml:space="preserve">ST-01</t>
  </si>
  <si>
    <t xml:space="preserve">Patients, particularly older or less tech-familiar users, show poor adoption of the web/mobile self-service portal, undermining the wait-time and satisfaction targets (AC-01, AC-03).</t>
  </si>
  <si>
    <t xml:space="preserve">Stakeholder</t>
  </si>
  <si>
    <t xml:space="preserve">Apply the simplified, multi-generational UI/UX design called for in NFR-03; provide on-site staff assistance for portal onboarding during the transition period.</t>
  </si>
  <si>
    <t xml:space="preserve">ST-02</t>
  </si>
  <si>
    <t xml:space="preserve">Expectations diverge between IT &amp; Operations (Keep Satisfied quadrant) and clinical Key Players on rollout timeline and feature priorities.</t>
  </si>
  <si>
    <t xml:space="preserve">Maintain the bi-weekly IT architecture syncs and weekly clinical status meetings defined in the Stakeholder Engagement Plan to keep priorities aligned.</t>
  </si>
  <si>
    <t xml:space="preserve">ST-03</t>
  </si>
  <si>
    <t xml:space="preserve">Low engagement from Support &amp; Maintenance staff (Monitor quadrant) leads to facility or equipment readiness gaps ahead of rollout milestones.</t>
  </si>
  <si>
    <t xml:space="preserve">Use intranet bulletins and scheduled facility-readiness check-ins tied to each project milestone date.</t>
  </si>
  <si>
    <t xml:space="preserve">ST-04</t>
  </si>
  <si>
    <t xml:space="preserve">Doctors and nurses resist workload-rebalancing recommendations surfaced by the live resource dashboard (e.g., shifting load away from Orthopedics).</t>
  </si>
  <si>
    <t xml:space="preserve">Involve physicians and nurses directly in schedule-design feedback workshops; phase in rebalancing gradually and share transparent utilization data.</t>
  </si>
  <si>
    <t xml:space="preserve">ST-05</t>
  </si>
  <si>
    <t xml:space="preserve">Patients continue to distrust or ignore automated SMS/Email notifications, so the 73.2% non-completion rate (no-shows, reschedules, cancellations) does not meaningfully improve.</t>
  </si>
  <si>
    <t xml:space="preserve">A/B test notification timing and channel; let patients choose a preferred contact method; track opt-in/engagement rates and follow up with low-engagement segments.</t>
  </si>
  <si>
    <t xml:space="preserve">Severity Legend:</t>
  </si>
  <si>
    <t xml:space="preserve">High (score 6-9) — Immediate attention</t>
  </si>
  <si>
    <t xml:space="preserve">Medium (score 3-4) — Monitor and manage</t>
  </si>
  <si>
    <t xml:space="preserve">Low (score 1-2) — Regular review</t>
  </si>
  <si>
    <t xml:space="preserve">HealthFirst Care Initiative — Risk Assessment Matrix (3x3)</t>
  </si>
  <si>
    <t xml:space="preserve">Likelihood (rows) vs. Impact (columns) — cell shows Risk IDs falling into that combination</t>
  </si>
  <si>
    <t xml:space="preserve">Impact →</t>
  </si>
  <si>
    <t xml:space="preserve">Likelihood ↓</t>
  </si>
  <si>
    <t xml:space="preserve">—</t>
  </si>
  <si>
    <t xml:space="preserve">OP-02
TE-03
ST-01
ST-02
ST-04</t>
  </si>
  <si>
    <t xml:space="preserve">OP-01
OP-05
TE-02
TE-04
ST-05</t>
  </si>
  <si>
    <t xml:space="preserve">TE-05
ST-03</t>
  </si>
  <si>
    <t xml:space="preserve">High severity (score 6-9) — Immediate attention</t>
  </si>
  <si>
    <t xml:space="preserve">Medium severity (score 3-4) — Monitor and manage</t>
  </si>
  <si>
    <t xml:space="preserve">Low severity (score 1-2) — Regular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</si>
</sst>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CCCC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  <fill>
      <patternFill patternType="solid">
        <fgColor rgb="FFFFD966"/>
        <bgColor rgb="FFFFCC00"/>
      </patternFill>
    </fill>
    <fill>
      <patternFill patternType="solid">
        <fgColor rgb="FFE06666"/>
        <bgColor rgb="FFFF6600"/>
      </patternFill>
    </fill>
    <fill>
      <patternFill patternType="solid">
        <fgColor rgb="FF93C47D"/>
        <bgColor rgb="FFB7B7B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D96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44"/>
    <col collapsed="false" customWidth="true" hidden="false" outlineLevel="0" max="10" min="10" style="0" width="10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2" t="s">
        <v>1</v>
      </c>
    </row>
    <row r="2" customFormat="false" ht="15" hidden="false" customHeight="false" outlineLevel="0" collapsed="false">
      <c r="A2" s="3" t="s">
        <v>2</v>
      </c>
      <c r="B2" s="3"/>
      <c r="C2" s="3"/>
      <c r="D2" s="3"/>
      <c r="E2" s="3"/>
      <c r="F2" s="3"/>
      <c r="G2" s="3"/>
      <c r="H2" s="3"/>
      <c r="J2" s="4" t="s">
        <v>3</v>
      </c>
      <c r="K2" s="4" t="n">
        <v>1</v>
      </c>
    </row>
    <row r="3" customFormat="false" ht="15" hidden="false" customHeight="false" outlineLevel="0" collapsed="false">
      <c r="J3" s="4" t="s">
        <v>4</v>
      </c>
      <c r="K3" s="4" t="n">
        <v>2</v>
      </c>
    </row>
    <row r="4" customFormat="false" ht="26.85" hidden="false" customHeight="fals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J4" s="4" t="s">
        <v>13</v>
      </c>
      <c r="K4" s="4" t="n">
        <v>3</v>
      </c>
    </row>
    <row r="5" customFormat="false" ht="46.25" hidden="false" customHeight="false" outlineLevel="0" collapsed="false">
      <c r="A5" s="6" t="s">
        <v>14</v>
      </c>
      <c r="B5" s="7" t="s">
        <v>15</v>
      </c>
      <c r="C5" s="6" t="s">
        <v>16</v>
      </c>
      <c r="D5" s="6" t="s">
        <v>4</v>
      </c>
      <c r="E5" s="6" t="s">
        <v>13</v>
      </c>
      <c r="F5" s="6" t="n">
        <f aca="false">VLOOKUP(D5,$J$2:$K$4,2,FALSE())*VLOOKUP(E5,$J$2:$K$4,2,FALSE())</f>
        <v>6</v>
      </c>
      <c r="G5" s="6" t="str">
        <f aca="false">IF(F5&gt;=6,"High",IF(F5&gt;=3,"Medium","Low"))</f>
        <v>High</v>
      </c>
      <c r="H5" s="7" t="s">
        <v>17</v>
      </c>
    </row>
    <row r="6" customFormat="false" ht="35.05" hidden="false" customHeight="false" outlineLevel="0" collapsed="false">
      <c r="A6" s="6" t="s">
        <v>18</v>
      </c>
      <c r="B6" s="7" t="s">
        <v>19</v>
      </c>
      <c r="C6" s="6" t="s">
        <v>16</v>
      </c>
      <c r="D6" s="6" t="s">
        <v>4</v>
      </c>
      <c r="E6" s="6" t="s">
        <v>4</v>
      </c>
      <c r="F6" s="6" t="n">
        <f aca="false">VLOOKUP(D6,$J$2:$K$4,2,FALSE())*VLOOKUP(E6,$J$2:$K$4,2,FALSE())</f>
        <v>4</v>
      </c>
      <c r="G6" s="6" t="str">
        <f aca="false">IF(F6&gt;=6,"High",IF(F6&gt;=3,"Medium","Low"))</f>
        <v>Medium</v>
      </c>
      <c r="H6" s="7" t="s">
        <v>20</v>
      </c>
    </row>
    <row r="7" customFormat="false" ht="46.25" hidden="false" customHeight="false" outlineLevel="0" collapsed="false">
      <c r="A7" s="6" t="s">
        <v>21</v>
      </c>
      <c r="B7" s="7" t="s">
        <v>22</v>
      </c>
      <c r="C7" s="6" t="s">
        <v>16</v>
      </c>
      <c r="D7" s="6" t="s">
        <v>13</v>
      </c>
      <c r="E7" s="6" t="s">
        <v>4</v>
      </c>
      <c r="F7" s="6" t="n">
        <f aca="false">VLOOKUP(D7,$J$2:$K$4,2,FALSE())*VLOOKUP(E7,$J$2:$K$4,2,FALSE())</f>
        <v>6</v>
      </c>
      <c r="G7" s="6" t="str">
        <f aca="false">IF(F7&gt;=6,"High",IF(F7&gt;=3,"Medium","Low"))</f>
        <v>High</v>
      </c>
      <c r="H7" s="7" t="s">
        <v>23</v>
      </c>
    </row>
    <row r="8" customFormat="false" ht="46.25" hidden="false" customHeight="false" outlineLevel="0" collapsed="false">
      <c r="A8" s="6" t="s">
        <v>24</v>
      </c>
      <c r="B8" s="7" t="s">
        <v>25</v>
      </c>
      <c r="C8" s="6" t="s">
        <v>16</v>
      </c>
      <c r="D8" s="6" t="s">
        <v>13</v>
      </c>
      <c r="E8" s="6" t="s">
        <v>13</v>
      </c>
      <c r="F8" s="6" t="n">
        <f aca="false">VLOOKUP(D8,$J$2:$K$4,2,FALSE())*VLOOKUP(E8,$J$2:$K$4,2,FALSE())</f>
        <v>9</v>
      </c>
      <c r="G8" s="6" t="str">
        <f aca="false">IF(F8&gt;=6,"High",IF(F8&gt;=3,"Medium","Low"))</f>
        <v>High</v>
      </c>
      <c r="H8" s="7" t="s">
        <v>26</v>
      </c>
    </row>
    <row r="9" customFormat="false" ht="46.25" hidden="false" customHeight="false" outlineLevel="0" collapsed="false">
      <c r="A9" s="6" t="s">
        <v>27</v>
      </c>
      <c r="B9" s="7" t="s">
        <v>28</v>
      </c>
      <c r="C9" s="6" t="s">
        <v>16</v>
      </c>
      <c r="D9" s="6" t="s">
        <v>4</v>
      </c>
      <c r="E9" s="6" t="s">
        <v>13</v>
      </c>
      <c r="F9" s="6" t="n">
        <f aca="false">VLOOKUP(D9,$J$2:$K$4,2,FALSE())*VLOOKUP(E9,$J$2:$K$4,2,FALSE())</f>
        <v>6</v>
      </c>
      <c r="G9" s="6" t="str">
        <f aca="false">IF(F9&gt;=6,"High",IF(F9&gt;=3,"Medium","Low"))</f>
        <v>High</v>
      </c>
      <c r="H9" s="7" t="s">
        <v>29</v>
      </c>
    </row>
    <row r="10" customFormat="false" ht="35.05" hidden="false" customHeight="false" outlineLevel="0" collapsed="false">
      <c r="A10" s="6" t="s">
        <v>30</v>
      </c>
      <c r="B10" s="7" t="s">
        <v>31</v>
      </c>
      <c r="C10" s="6" t="s">
        <v>32</v>
      </c>
      <c r="D10" s="6" t="s">
        <v>3</v>
      </c>
      <c r="E10" s="6" t="s">
        <v>13</v>
      </c>
      <c r="F10" s="6" t="n">
        <f aca="false">VLOOKUP(D10,$J$2:$K$4,2,FALSE())*VLOOKUP(E10,$J$2:$K$4,2,FALSE())</f>
        <v>3</v>
      </c>
      <c r="G10" s="6" t="str">
        <f aca="false">IF(F10&gt;=6,"High",IF(F10&gt;=3,"Medium","Low"))</f>
        <v>Medium</v>
      </c>
      <c r="H10" s="7" t="s">
        <v>33</v>
      </c>
    </row>
    <row r="11" customFormat="false" ht="35.05" hidden="false" customHeight="false" outlineLevel="0" collapsed="false">
      <c r="A11" s="6" t="s">
        <v>34</v>
      </c>
      <c r="B11" s="7" t="s">
        <v>35</v>
      </c>
      <c r="C11" s="6" t="s">
        <v>32</v>
      </c>
      <c r="D11" s="6" t="s">
        <v>4</v>
      </c>
      <c r="E11" s="6" t="s">
        <v>13</v>
      </c>
      <c r="F11" s="6" t="n">
        <f aca="false">VLOOKUP(D11,$J$2:$K$4,2,FALSE())*VLOOKUP(E11,$J$2:$K$4,2,FALSE())</f>
        <v>6</v>
      </c>
      <c r="G11" s="6" t="str">
        <f aca="false">IF(F11&gt;=6,"High",IF(F11&gt;=3,"Medium","Low"))</f>
        <v>High</v>
      </c>
      <c r="H11" s="7" t="s">
        <v>36</v>
      </c>
    </row>
    <row r="12" customFormat="false" ht="35.05" hidden="false" customHeight="false" outlineLevel="0" collapsed="false">
      <c r="A12" s="6" t="s">
        <v>37</v>
      </c>
      <c r="B12" s="7" t="s">
        <v>38</v>
      </c>
      <c r="C12" s="6" t="s">
        <v>32</v>
      </c>
      <c r="D12" s="6" t="s">
        <v>4</v>
      </c>
      <c r="E12" s="6" t="s">
        <v>4</v>
      </c>
      <c r="F12" s="6" t="n">
        <f aca="false">VLOOKUP(D12,$J$2:$K$4,2,FALSE())*VLOOKUP(E12,$J$2:$K$4,2,FALSE())</f>
        <v>4</v>
      </c>
      <c r="G12" s="6" t="str">
        <f aca="false">IF(F12&gt;=6,"High",IF(F12&gt;=3,"Medium","Low"))</f>
        <v>Medium</v>
      </c>
      <c r="H12" s="7" t="s">
        <v>39</v>
      </c>
    </row>
    <row r="13" customFormat="false" ht="46.25" hidden="false" customHeight="false" outlineLevel="0" collapsed="false">
      <c r="A13" s="6" t="s">
        <v>40</v>
      </c>
      <c r="B13" s="7" t="s">
        <v>41</v>
      </c>
      <c r="C13" s="6" t="s">
        <v>32</v>
      </c>
      <c r="D13" s="6" t="s">
        <v>4</v>
      </c>
      <c r="E13" s="6" t="s">
        <v>13</v>
      </c>
      <c r="F13" s="6" t="n">
        <f aca="false">VLOOKUP(D13,$J$2:$K$4,2,FALSE())*VLOOKUP(E13,$J$2:$K$4,2,FALSE())</f>
        <v>6</v>
      </c>
      <c r="G13" s="6" t="str">
        <f aca="false">IF(F13&gt;=6,"High",IF(F13&gt;=3,"Medium","Low"))</f>
        <v>High</v>
      </c>
      <c r="H13" s="7" t="s">
        <v>42</v>
      </c>
    </row>
    <row r="14" customFormat="false" ht="35.05" hidden="false" customHeight="false" outlineLevel="0" collapsed="false">
      <c r="A14" s="6" t="s">
        <v>43</v>
      </c>
      <c r="B14" s="7" t="s">
        <v>44</v>
      </c>
      <c r="C14" s="6" t="s">
        <v>32</v>
      </c>
      <c r="D14" s="6" t="s">
        <v>3</v>
      </c>
      <c r="E14" s="6" t="s">
        <v>4</v>
      </c>
      <c r="F14" s="6" t="n">
        <f aca="false">VLOOKUP(D14,$J$2:$K$4,2,FALSE())*VLOOKUP(E14,$J$2:$K$4,2,FALSE())</f>
        <v>2</v>
      </c>
      <c r="G14" s="6" t="str">
        <f aca="false">IF(F14&gt;=6,"High",IF(F14&gt;=3,"Medium","Low"))</f>
        <v>Low</v>
      </c>
      <c r="H14" s="7" t="s">
        <v>45</v>
      </c>
    </row>
    <row r="15" customFormat="false" ht="46.25" hidden="false" customHeight="false" outlineLevel="0" collapsed="false">
      <c r="A15" s="6" t="s">
        <v>46</v>
      </c>
      <c r="B15" s="7" t="s">
        <v>47</v>
      </c>
      <c r="C15" s="6" t="s">
        <v>48</v>
      </c>
      <c r="D15" s="6" t="s">
        <v>4</v>
      </c>
      <c r="E15" s="6" t="s">
        <v>4</v>
      </c>
      <c r="F15" s="6" t="n">
        <f aca="false">VLOOKUP(D15,$J$2:$K$4,2,FALSE())*VLOOKUP(E15,$J$2:$K$4,2,FALSE())</f>
        <v>4</v>
      </c>
      <c r="G15" s="6" t="str">
        <f aca="false">IF(F15&gt;=6,"High",IF(F15&gt;=3,"Medium","Low"))</f>
        <v>Medium</v>
      </c>
      <c r="H15" s="7" t="s">
        <v>49</v>
      </c>
    </row>
    <row r="16" customFormat="false" ht="46.25" hidden="false" customHeight="false" outlineLevel="0" collapsed="false">
      <c r="A16" s="6" t="s">
        <v>50</v>
      </c>
      <c r="B16" s="7" t="s">
        <v>51</v>
      </c>
      <c r="C16" s="6" t="s">
        <v>48</v>
      </c>
      <c r="D16" s="6" t="s">
        <v>4</v>
      </c>
      <c r="E16" s="6" t="s">
        <v>4</v>
      </c>
      <c r="F16" s="6" t="n">
        <f aca="false">VLOOKUP(D16,$J$2:$K$4,2,FALSE())*VLOOKUP(E16,$J$2:$K$4,2,FALSE())</f>
        <v>4</v>
      </c>
      <c r="G16" s="6" t="str">
        <f aca="false">IF(F16&gt;=6,"High",IF(F16&gt;=3,"Medium","Low"))</f>
        <v>Medium</v>
      </c>
      <c r="H16" s="7" t="s">
        <v>52</v>
      </c>
    </row>
    <row r="17" customFormat="false" ht="35.05" hidden="false" customHeight="false" outlineLevel="0" collapsed="false">
      <c r="A17" s="6" t="s">
        <v>53</v>
      </c>
      <c r="B17" s="7" t="s">
        <v>54</v>
      </c>
      <c r="C17" s="6" t="s">
        <v>48</v>
      </c>
      <c r="D17" s="6" t="s">
        <v>3</v>
      </c>
      <c r="E17" s="6" t="s">
        <v>4</v>
      </c>
      <c r="F17" s="6" t="n">
        <f aca="false">VLOOKUP(D17,$J$2:$K$4,2,FALSE())*VLOOKUP(E17,$J$2:$K$4,2,FALSE())</f>
        <v>2</v>
      </c>
      <c r="G17" s="6" t="str">
        <f aca="false">IF(F17&gt;=6,"High",IF(F17&gt;=3,"Medium","Low"))</f>
        <v>Low</v>
      </c>
      <c r="H17" s="7" t="s">
        <v>55</v>
      </c>
    </row>
    <row r="18" customFormat="false" ht="35.05" hidden="false" customHeight="false" outlineLevel="0" collapsed="false">
      <c r="A18" s="6" t="s">
        <v>56</v>
      </c>
      <c r="B18" s="7" t="s">
        <v>57</v>
      </c>
      <c r="C18" s="6" t="s">
        <v>48</v>
      </c>
      <c r="D18" s="6" t="s">
        <v>4</v>
      </c>
      <c r="E18" s="6" t="s">
        <v>4</v>
      </c>
      <c r="F18" s="6" t="n">
        <f aca="false">VLOOKUP(D18,$J$2:$K$4,2,FALSE())*VLOOKUP(E18,$J$2:$K$4,2,FALSE())</f>
        <v>4</v>
      </c>
      <c r="G18" s="6" t="str">
        <f aca="false">IF(F18&gt;=6,"High",IF(F18&gt;=3,"Medium","Low"))</f>
        <v>Medium</v>
      </c>
      <c r="H18" s="7" t="s">
        <v>58</v>
      </c>
    </row>
    <row r="19" customFormat="false" ht="46.25" hidden="false" customHeight="false" outlineLevel="0" collapsed="false">
      <c r="A19" s="6" t="s">
        <v>59</v>
      </c>
      <c r="B19" s="7" t="s">
        <v>60</v>
      </c>
      <c r="C19" s="6" t="s">
        <v>48</v>
      </c>
      <c r="D19" s="6" t="s">
        <v>4</v>
      </c>
      <c r="E19" s="6" t="s">
        <v>13</v>
      </c>
      <c r="F19" s="6" t="n">
        <f aca="false">VLOOKUP(D19,$J$2:$K$4,2,FALSE())*VLOOKUP(E19,$J$2:$K$4,2,FALSE())</f>
        <v>6</v>
      </c>
      <c r="G19" s="6" t="str">
        <f aca="false">IF(F19&gt;=6,"High",IF(F19&gt;=3,"Medium","Low"))</f>
        <v>High</v>
      </c>
      <c r="H19" s="7" t="s">
        <v>61</v>
      </c>
    </row>
    <row r="21" customFormat="false" ht="15" hidden="false" customHeight="false" outlineLevel="0" collapsed="false">
      <c r="A21" s="8" t="s">
        <v>62</v>
      </c>
    </row>
    <row r="22" customFormat="false" ht="15" hidden="false" customHeight="false" outlineLevel="0" collapsed="false">
      <c r="A22" s="9" t="s">
        <v>63</v>
      </c>
      <c r="B22" s="9"/>
      <c r="C22" s="9"/>
    </row>
    <row r="23" customFormat="false" ht="15" hidden="false" customHeight="false" outlineLevel="0" collapsed="false">
      <c r="A23" s="10" t="s">
        <v>64</v>
      </c>
      <c r="B23" s="10"/>
      <c r="C23" s="10"/>
    </row>
    <row r="24" customFormat="false" ht="15" hidden="false" customHeight="false" outlineLevel="0" collapsed="false">
      <c r="A24" s="11" t="s">
        <v>65</v>
      </c>
      <c r="B24" s="11"/>
      <c r="C24" s="11"/>
    </row>
  </sheetData>
  <mergeCells count="5">
    <mergeCell ref="A1:H1"/>
    <mergeCell ref="A2:H2"/>
    <mergeCell ref="A22:C22"/>
    <mergeCell ref="A23:C23"/>
    <mergeCell ref="A24:C24"/>
  </mergeCells>
  <conditionalFormatting sqref="A5:H19">
    <cfRule type="expression" priority="2" aboveAverage="0" equalAverage="0" bottom="0" percent="0" rank="0" text="" dxfId="0">
      <formula>$G5="High"</formula>
    </cfRule>
    <cfRule type="expression" priority="3" aboveAverage="0" equalAverage="0" bottom="0" percent="0" rank="0" text="" dxfId="1">
      <formula>$G5="Medium"</formula>
    </cfRule>
    <cfRule type="expression" priority="4" aboveAverage="0" equalAverage="0" bottom="0" percent="0" rank="0" text="" dxfId="2">
      <formula>$G5="Low"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  <c r="E1" s="1"/>
    </row>
    <row r="2" customFormat="false" ht="15" hidden="false" customHeight="false" outlineLevel="0" collapsed="false">
      <c r="A2" s="3" t="s">
        <v>67</v>
      </c>
      <c r="B2" s="3"/>
      <c r="C2" s="3"/>
      <c r="D2" s="3"/>
      <c r="E2" s="3"/>
    </row>
    <row r="4" customFormat="false" ht="15" hidden="false" customHeight="false" outlineLevel="0" collapsed="false">
      <c r="B4" s="12" t="s">
        <v>68</v>
      </c>
      <c r="C4" s="13" t="s">
        <v>3</v>
      </c>
      <c r="D4" s="13" t="s">
        <v>4</v>
      </c>
      <c r="E4" s="13" t="s">
        <v>13</v>
      </c>
    </row>
    <row r="5" customFormat="false" ht="54.75" hidden="false" customHeight="true" outlineLevel="0" collapsed="false">
      <c r="A5" s="14" t="s">
        <v>69</v>
      </c>
      <c r="B5" s="13" t="s">
        <v>13</v>
      </c>
      <c r="C5" s="15" t="s">
        <v>70</v>
      </c>
      <c r="D5" s="16" t="s">
        <v>21</v>
      </c>
      <c r="E5" s="16" t="s">
        <v>24</v>
      </c>
    </row>
    <row r="6" customFormat="false" ht="54.75" hidden="false" customHeight="true" outlineLevel="0" collapsed="false">
      <c r="B6" s="13" t="s">
        <v>4</v>
      </c>
      <c r="C6" s="17" t="s">
        <v>70</v>
      </c>
      <c r="D6" s="15" t="s">
        <v>71</v>
      </c>
      <c r="E6" s="16" t="s">
        <v>72</v>
      </c>
    </row>
    <row r="7" customFormat="false" ht="54.75" hidden="false" customHeight="true" outlineLevel="0" collapsed="false">
      <c r="B7" s="13" t="s">
        <v>3</v>
      </c>
      <c r="C7" s="17" t="s">
        <v>70</v>
      </c>
      <c r="D7" s="17" t="s">
        <v>73</v>
      </c>
      <c r="E7" s="15" t="s">
        <v>30</v>
      </c>
    </row>
    <row r="10" customFormat="false" ht="15" hidden="false" customHeight="false" outlineLevel="0" collapsed="false">
      <c r="B10" s="18" t="s">
        <v>74</v>
      </c>
      <c r="C10" s="18"/>
      <c r="D10" s="18"/>
      <c r="E10" s="18"/>
    </row>
    <row r="11" customFormat="false" ht="15" hidden="false" customHeight="false" outlineLevel="0" collapsed="false">
      <c r="B11" s="19" t="s">
        <v>75</v>
      </c>
      <c r="C11" s="19"/>
      <c r="D11" s="19"/>
      <c r="E11" s="19"/>
    </row>
    <row r="12" customFormat="false" ht="15" hidden="false" customHeight="false" outlineLevel="0" collapsed="false">
      <c r="B12" s="20" t="s">
        <v>76</v>
      </c>
      <c r="C12" s="20"/>
      <c r="D12" s="20"/>
      <c r="E12" s="20"/>
    </row>
  </sheetData>
  <mergeCells count="5">
    <mergeCell ref="A1:E1"/>
    <mergeCell ref="A2:E2"/>
    <mergeCell ref="B10:E10"/>
    <mergeCell ref="B11:E11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2026-09-01T07:05:55Z</dcterms:created>
  <dc:creator>openpyxl</dc:creator>
  <dc:description/>
  <dc:language>en-US</dc:language>
  <cp:lastModifiedBy/>
  <dcterms:modified xsi:type="dcterms:W3CDTF">2026-09-01T07:06:13Z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